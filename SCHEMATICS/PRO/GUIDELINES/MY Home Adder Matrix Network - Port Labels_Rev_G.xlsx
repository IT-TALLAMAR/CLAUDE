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work Cables" sheetId="1" state="visible" r:id="rId3"/>
    <sheet name="USR Cables" sheetId="2" state="visible" r:id="rId4"/>
    <sheet name="CAM Cables" sheetId="3" state="visible" r:id="rId5"/>
  </sheets>
  <definedNames>
    <definedName function="false" hidden="false" localSheetId="2" name="_xlnm.Print_Titles" vbProcedure="false">'CAM Cables'!$5:$5</definedName>
    <definedName function="false" hidden="false" localSheetId="0" name="_xlnm.Print_Titles" vbProcedure="false">'Network Cables'!$5:$5</definedName>
    <definedName function="false" hidden="false" localSheetId="1" name="_xlnm.Print_Titles" vbProcedure="false">'USR Cables'!$5:$5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<sst xmlns="http://schemas.openxmlformats.org/spreadsheetml/2006/main" count="867" uniqueCount="215">
  <si>
    <t xml:space="preserve">M/Y HOME – ADDER MATRIX NETWORK – NETGEAR SWITCH PORT LABELLING</t>
  </si>
  <si>
    <t xml:space="preserve">Vessel: M/Y Home    Rev: E    Tallamar Electronics</t>
  </si>
  <si>
    <t xml:space="preserve">Tick Label 1 / Label 2 (☐ → ☑ from drop-down). Status turns to Done automatically when both labels are ticked. Ports 11, 12, 23 and 24 not connected (omitted).</t>
  </si>
  <si>
    <t xml:space="preserve">Port</t>
  </si>
  <si>
    <t xml:space="preserve">Label</t>
  </si>
  <si>
    <t xml:space="preserve">Device</t>
  </si>
  <si>
    <t xml:space="preserve">Label 1</t>
  </si>
  <si>
    <t xml:space="preserve">Label 2</t>
  </si>
  <si>
    <t xml:space="preserve">Status</t>
  </si>
  <si>
    <t xml:space="preserve">POWER</t>
  </si>
  <si>
    <t xml:space="preserve">TMP01</t>
  </si>
  <si>
    <t xml:space="preserve">220 V socket from rack UPS</t>
  </si>
  <si>
    <t xml:space="preserve">☐</t>
  </si>
  <si>
    <t xml:space="preserve">TML01</t>
  </si>
  <si>
    <t xml:space="preserve">CAM 01 – AMS1</t>
  </si>
  <si>
    <t xml:space="preserve">TML02</t>
  </si>
  <si>
    <t xml:space="preserve">CAM 02 – AMS3</t>
  </si>
  <si>
    <t xml:space="preserve">TML03</t>
  </si>
  <si>
    <t xml:space="preserve">CAM 03 – RADAR1</t>
  </si>
  <si>
    <t xml:space="preserve">TML04</t>
  </si>
  <si>
    <t xml:space="preserve">CAM 04 – RADAR2</t>
  </si>
  <si>
    <t xml:space="preserve">TML05</t>
  </si>
  <si>
    <t xml:space="preserve">CAM 05 – MTU</t>
  </si>
  <si>
    <t xml:space="preserve">TML06</t>
  </si>
  <si>
    <t xml:space="preserve">CAM 06 – TZ1</t>
  </si>
  <si>
    <t xml:space="preserve">TML07</t>
  </si>
  <si>
    <t xml:space="preserve">CAM 07 – TZ2</t>
  </si>
  <si>
    <t xml:space="preserve">TML08</t>
  </si>
  <si>
    <t xml:space="preserve">CAM 08 – ECDIS1</t>
  </si>
  <si>
    <t xml:space="preserve">TML09</t>
  </si>
  <si>
    <t xml:space="preserve">CAM 09 – ECDIS2</t>
  </si>
  <si>
    <t xml:space="preserve">TML10</t>
  </si>
  <si>
    <t xml:space="preserve">CAM 10 – DEPTH</t>
  </si>
  <si>
    <t xml:space="preserve">TML13</t>
  </si>
  <si>
    <t xml:space="preserve">USR 01 – Screen 1</t>
  </si>
  <si>
    <t xml:space="preserve">TML14</t>
  </si>
  <si>
    <t xml:space="preserve">USR 02 – Screen 2</t>
  </si>
  <si>
    <t xml:space="preserve">TML15</t>
  </si>
  <si>
    <t xml:space="preserve">USR 03 – Screen 3</t>
  </si>
  <si>
    <t xml:space="preserve">TML16</t>
  </si>
  <si>
    <t xml:space="preserve">USR 04 – Screen 4</t>
  </si>
  <si>
    <t xml:space="preserve">TML17</t>
  </si>
  <si>
    <t xml:space="preserve">USR 05 – Screen 5</t>
  </si>
  <si>
    <t xml:space="preserve">TML18</t>
  </si>
  <si>
    <t xml:space="preserve">USR 06 – Screen 6</t>
  </si>
  <si>
    <t xml:space="preserve">TML19</t>
  </si>
  <si>
    <t xml:space="preserve">USR 07 – Planning Screen</t>
  </si>
  <si>
    <t xml:space="preserve">TML20</t>
  </si>
  <si>
    <t xml:space="preserve">USR 08 – Screen Captain Cabin</t>
  </si>
  <si>
    <t xml:space="preserve">TML21</t>
  </si>
  <si>
    <t xml:space="preserve">USR 09 – Screen Crewmess</t>
  </si>
  <si>
    <t xml:space="preserve">TML22</t>
  </si>
  <si>
    <t xml:space="preserve">USR 10 – Screen Upper Deck Salon</t>
  </si>
  <si>
    <t xml:space="preserve">TML25</t>
  </si>
  <si>
    <t xml:space="preserve">Control Screen – TBP10</t>
  </si>
  <si>
    <t xml:space="preserve">TML26</t>
  </si>
  <si>
    <t xml:space="preserve">TZ2 PC – LAN 1G</t>
  </si>
  <si>
    <t xml:space="preserve">Ports</t>
  </si>
  <si>
    <t xml:space="preserve">Label 1 done</t>
  </si>
  <si>
    <t xml:space="preserve">Label 2 done</t>
  </si>
  <si>
    <t xml:space="preserve">Status Done</t>
  </si>
  <si>
    <t xml:space="preserve">Progress</t>
  </si>
  <si>
    <t xml:space="preserve">M/Y HOME – ADDER MATRIX NETWORK – USR CABLE LABELLING</t>
  </si>
  <si>
    <t xml:space="preserve">Tick the yellow cells (☐ → ☑ from drop-down). Every cable has two labels, one on each end (Cable Label 1 / 2); Adapter Label ✓ = label on the adapter / PSU. Status turns to Done automatically when all the row's tick boxes are ticked; rows without tick boxes have a manual Status (yellow). USR 10 not on the source sketch.</t>
  </si>
  <si>
    <t xml:space="preserve">Adapter</t>
  </si>
  <si>
    <t xml:space="preserve">Adapter Label</t>
  </si>
  <si>
    <t xml:space="preserve">Cable Label</t>
  </si>
  <si>
    <t xml:space="preserve">Destination</t>
  </si>
  <si>
    <t xml:space="preserve">Cable Label 1</t>
  </si>
  <si>
    <t xml:space="preserve">Cable Label 2</t>
  </si>
  <si>
    <t xml:space="preserve">Adapter Label ✓</t>
  </si>
  <si>
    <t xml:space="preserve">Notes</t>
  </si>
  <si>
    <t xml:space="preserve">Power</t>
  </si>
  <si>
    <t xml:space="preserve">—</t>
  </si>
  <si>
    <t xml:space="preserve">TMP02</t>
  </si>
  <si>
    <t xml:space="preserve">Sockets 1</t>
  </si>
  <si>
    <t xml:space="preserve">DP</t>
  </si>
  <si>
    <t xml:space="preserve">DP-DVI</t>
  </si>
  <si>
    <t xml:space="preserve">TMA01</t>
  </si>
  <si>
    <t xml:space="preserve">TMV01</t>
  </si>
  <si>
    <t xml:space="preserve">Screen 1 – HDMI</t>
  </si>
  <si>
    <t xml:space="preserve">LAN</t>
  </si>
  <si>
    <t xml:space="preserve">SW01 – P13</t>
  </si>
  <si>
    <t xml:space="preserve">USB</t>
  </si>
  <si>
    <t xml:space="preserve">TMU01</t>
  </si>
  <si>
    <t xml:space="preserve">Screen 1 – USB</t>
  </si>
  <si>
    <t xml:space="preserve">TMP03</t>
  </si>
  <si>
    <t xml:space="preserve">TMA02</t>
  </si>
  <si>
    <t xml:space="preserve">TMV02</t>
  </si>
  <si>
    <t xml:space="preserve">Screen 2 – DVI</t>
  </si>
  <si>
    <t xml:space="preserve">SW01 – P14</t>
  </si>
  <si>
    <t xml:space="preserve">TMU02</t>
  </si>
  <si>
    <t xml:space="preserve">Screen 2 – USB</t>
  </si>
  <si>
    <t xml:space="preserve">TMP04</t>
  </si>
  <si>
    <t xml:space="preserve">TMA03</t>
  </si>
  <si>
    <t xml:space="preserve">TMV03</t>
  </si>
  <si>
    <t xml:space="preserve">Screen 3 – DVI</t>
  </si>
  <si>
    <t xml:space="preserve">SW01 – P15</t>
  </si>
  <si>
    <t xml:space="preserve">TMU03</t>
  </si>
  <si>
    <t xml:space="preserve">Screen 3 – USB</t>
  </si>
  <si>
    <t xml:space="preserve">TMP05</t>
  </si>
  <si>
    <t xml:space="preserve">Sockets 2</t>
  </si>
  <si>
    <t xml:space="preserve">TMA04</t>
  </si>
  <si>
    <t xml:space="preserve">TMV04</t>
  </si>
  <si>
    <t xml:space="preserve">Screen 4 – DVI</t>
  </si>
  <si>
    <t xml:space="preserve">SW01 – P16</t>
  </si>
  <si>
    <t xml:space="preserve">TMU04</t>
  </si>
  <si>
    <t xml:space="preserve">Screen 4 – USB</t>
  </si>
  <si>
    <t xml:space="preserve">TMP06</t>
  </si>
  <si>
    <t xml:space="preserve">TMA05</t>
  </si>
  <si>
    <t xml:space="preserve">TMV05</t>
  </si>
  <si>
    <t xml:space="preserve">Screen 5 – DVI</t>
  </si>
  <si>
    <t xml:space="preserve">SW01 – P17</t>
  </si>
  <si>
    <t xml:space="preserve">TMU05</t>
  </si>
  <si>
    <t xml:space="preserve">Screen 5 – USB</t>
  </si>
  <si>
    <t xml:space="preserve">TMP07</t>
  </si>
  <si>
    <t xml:space="preserve">TMA06</t>
  </si>
  <si>
    <t xml:space="preserve">TMV06</t>
  </si>
  <si>
    <t xml:space="preserve">Screen 6 – HDMI</t>
  </si>
  <si>
    <t xml:space="preserve">SW01 – P18</t>
  </si>
  <si>
    <t xml:space="preserve">TMU06</t>
  </si>
  <si>
    <t xml:space="preserve">Screen 6 – USB</t>
  </si>
  <si>
    <t xml:space="preserve">TMP08</t>
  </si>
  <si>
    <t xml:space="preserve">TMA07</t>
  </si>
  <si>
    <t xml:space="preserve">TMV07</t>
  </si>
  <si>
    <t xml:space="preserve">Screen 7 – HDMI</t>
  </si>
  <si>
    <t xml:space="preserve">SW01 – P19</t>
  </si>
  <si>
    <t xml:space="preserve">TMU07</t>
  </si>
  <si>
    <t xml:space="preserve">Screen 7 – USB</t>
  </si>
  <si>
    <t xml:space="preserve">TMP09</t>
  </si>
  <si>
    <t xml:space="preserve">TV socket</t>
  </si>
  <si>
    <t xml:space="preserve">Captain Cabin TV socket</t>
  </si>
  <si>
    <t xml:space="preserve">TMA08</t>
  </si>
  <si>
    <t xml:space="preserve">TMV08</t>
  </si>
  <si>
    <t xml:space="preserve">Captain Cabin TV – HDMI 2</t>
  </si>
  <si>
    <t xml:space="preserve">SW01 – P20</t>
  </si>
  <si>
    <t xml:space="preserve">N/A</t>
  </si>
  <si>
    <t xml:space="preserve">No USB cable on sketch</t>
  </si>
  <si>
    <t xml:space="preserve">TMP10</t>
  </si>
  <si>
    <t xml:space="preserve">Crewmess TV socket</t>
  </si>
  <si>
    <t xml:space="preserve">TMA09</t>
  </si>
  <si>
    <t xml:space="preserve">TMV09</t>
  </si>
  <si>
    <t xml:space="preserve">Crewmess Hatteland – DVI</t>
  </si>
  <si>
    <t xml:space="preserve">SW01 – P21</t>
  </si>
  <si>
    <t xml:space="preserve">Connections</t>
  </si>
  <si>
    <t xml:space="preserve">Cables</t>
  </si>
  <si>
    <t xml:space="preserve">Cable labels (2 per cable)</t>
  </si>
  <si>
    <t xml:space="preserve">Cable labels done</t>
  </si>
  <si>
    <t xml:space="preserve">Adapter labels</t>
  </si>
  <si>
    <t xml:space="preserve">Adapter labels done</t>
  </si>
  <si>
    <t xml:space="preserve">Status Fault</t>
  </si>
  <si>
    <t xml:space="preserve">M/Y HOME – ADDER MATRIX NETWORK – CAM CABLE LABELLING</t>
  </si>
  <si>
    <t xml:space="preserve">Tick the yellow cells (☐ → ☑ from drop-down). Every cable has two labels, one on each end (Cable Label 1 / 2); Adapter Label ✓ = label on the adapter / PSU. Status turns to Done automatically when all the row's tick boxes are ticked; rows without tick boxes have a manual Status (yellow). CAM video and USB go directly to the source device unless an adapter is listed; the PoE+ PSU sits between SW01 and the CAM (LAN + Power ports).</t>
  </si>
  <si>
    <t xml:space="preserve">POE+ PSU</t>
  </si>
  <si>
    <t xml:space="preserve">TMPS01</t>
  </si>
  <si>
    <t xml:space="preserve">SW01 – P01</t>
  </si>
  <si>
    <t xml:space="preserve">POE+ PSU TMPS01</t>
  </si>
  <si>
    <t xml:space="preserve">Video (HDMI)</t>
  </si>
  <si>
    <t xml:space="preserve">DVI-HDMI</t>
  </si>
  <si>
    <t xml:space="preserve">TMA10</t>
  </si>
  <si>
    <t xml:space="preserve">DIAGNOSE PC 1 – DVI</t>
  </si>
  <si>
    <t xml:space="preserve">DIAGNOSE PC 1 – USB</t>
  </si>
  <si>
    <t xml:space="preserve">Pending</t>
  </si>
  <si>
    <t xml:space="preserve">TMPS02</t>
  </si>
  <si>
    <t xml:space="preserve">SW01 – P02</t>
  </si>
  <si>
    <t xml:space="preserve">POE+ PSU TMPS02</t>
  </si>
  <si>
    <t xml:space="preserve">Video (DP)</t>
  </si>
  <si>
    <t xml:space="preserve">DIAGNOSE PC 3 – DP1</t>
  </si>
  <si>
    <t xml:space="preserve">DIAGNOSE PC 3 – USB</t>
  </si>
  <si>
    <t xml:space="preserve">TMPS03</t>
  </si>
  <si>
    <t xml:space="preserve">SW01 – P03</t>
  </si>
  <si>
    <t xml:space="preserve">POE+ PSU TMPS03</t>
  </si>
  <si>
    <t xml:space="preserve">TMA11</t>
  </si>
  <si>
    <t xml:space="preserve">RADAR 1 – DVI2</t>
  </si>
  <si>
    <t xml:space="preserve">RADAR 1 – USB</t>
  </si>
  <si>
    <t xml:space="preserve">TMPS04</t>
  </si>
  <si>
    <t xml:space="preserve">SW01 – P04</t>
  </si>
  <si>
    <t xml:space="preserve">POE+ PSU TMPS04</t>
  </si>
  <si>
    <t xml:space="preserve">TMA12</t>
  </si>
  <si>
    <t xml:space="preserve">RADAR 2 – DVI2</t>
  </si>
  <si>
    <t xml:space="preserve">RADAR 2 – USB</t>
  </si>
  <si>
    <t xml:space="preserve">TMPS05</t>
  </si>
  <si>
    <t xml:space="preserve">SW01 – P05</t>
  </si>
  <si>
    <t xml:space="preserve">POE+ PSU TMPS05</t>
  </si>
  <si>
    <t xml:space="preserve">TMA13</t>
  </si>
  <si>
    <t xml:space="preserve">MTU PC – DVI</t>
  </si>
  <si>
    <t xml:space="preserve">MTU PC – USB</t>
  </si>
  <si>
    <t xml:space="preserve">TMPS06</t>
  </si>
  <si>
    <t xml:space="preserve">SW01 – P06</t>
  </si>
  <si>
    <t xml:space="preserve">POE+ PSU TMPS06</t>
  </si>
  <si>
    <t xml:space="preserve">TIMEZERO PC 1 – HDMI</t>
  </si>
  <si>
    <t xml:space="preserve">TIMEZERO PC 1 – USB</t>
  </si>
  <si>
    <t xml:space="preserve">TMPS07</t>
  </si>
  <si>
    <t xml:space="preserve">SW01 – P07</t>
  </si>
  <si>
    <t xml:space="preserve">POE+ PSU TMPS07</t>
  </si>
  <si>
    <t xml:space="preserve">TMA14</t>
  </si>
  <si>
    <t xml:space="preserve">TIMEZERO PC 2 – DP</t>
  </si>
  <si>
    <t xml:space="preserve">TMA15</t>
  </si>
  <si>
    <t xml:space="preserve">In series with DP-DVI TMA14</t>
  </si>
  <si>
    <t xml:space="preserve">TIMEZERO PC 2 – USB</t>
  </si>
  <si>
    <t xml:space="preserve">TMPS08</t>
  </si>
  <si>
    <t xml:space="preserve">SW01 – P08</t>
  </si>
  <si>
    <t xml:space="preserve">POE+ PSU TMPS08</t>
  </si>
  <si>
    <t xml:space="preserve">ECDIS 1 PC – DP2</t>
  </si>
  <si>
    <t xml:space="preserve">ECDIS 1 PC – USB</t>
  </si>
  <si>
    <t xml:space="preserve">TMPS09</t>
  </si>
  <si>
    <t xml:space="preserve">SW01 – P09</t>
  </si>
  <si>
    <t xml:space="preserve">POE+ PSU TMPS09</t>
  </si>
  <si>
    <t xml:space="preserve">ECDIS 2 PC – DP2</t>
  </si>
  <si>
    <t xml:space="preserve">ECDIS 2 PC – USB</t>
  </si>
  <si>
    <t xml:space="preserve">TMPS10</t>
  </si>
  <si>
    <t xml:space="preserve">SW01 – P10</t>
  </si>
  <si>
    <t xml:space="preserve">POE+ PSU TMPS10</t>
  </si>
  <si>
    <t xml:space="preserve">SIMRAD NSO – HDMI 1</t>
  </si>
  <si>
    <t xml:space="preserve">SIMRAD NSO – USB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</si>
</sst>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8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s">
        <v>11</v>
      </c>
      <c r="D6" s="7" t="s">
        <v>12</v>
      </c>
      <c r="E6" s="7" t="s">
        <v>12</v>
      </c>
      <c r="F6" s="5" t="str">
        <f aca="false">IF(COUNTIF(D6,"☐")+COUNTIF(E6,"☐")=0,"Done","Pending")</f>
        <v>Pending</v>
      </c>
    </row>
    <row r="7" customFormat="false" ht="15" hidden="false" customHeight="false" outlineLevel="0" collapsed="false">
      <c r="A7" s="5" t="n">
        <v>1</v>
      </c>
      <c r="B7" s="5" t="s">
        <v>13</v>
      </c>
      <c r="C7" s="6" t="s">
        <v>14</v>
      </c>
      <c r="D7" s="7" t="s">
        <v>12</v>
      </c>
      <c r="E7" s="7" t="s">
        <v>12</v>
      </c>
      <c r="F7" s="5" t="str">
        <f aca="false">IF(COUNTIF(D7,"☐")+COUNTIF(E7,"☐")=0,"Done","Pending")</f>
        <v>Pending</v>
      </c>
    </row>
    <row r="8" customFormat="false" ht="15" hidden="false" customHeight="false" outlineLevel="0" collapsed="false">
      <c r="A8" s="5" t="n">
        <v>2</v>
      </c>
      <c r="B8" s="5" t="s">
        <v>15</v>
      </c>
      <c r="C8" s="6" t="s">
        <v>16</v>
      </c>
      <c r="D8" s="7" t="s">
        <v>12</v>
      </c>
      <c r="E8" s="7" t="s">
        <v>12</v>
      </c>
      <c r="F8" s="5" t="str">
        <f aca="false">IF(COUNTIF(D8,"☐")+COUNTIF(E8,"☐")=0,"Done","Pending")</f>
        <v>Pending</v>
      </c>
    </row>
    <row r="9" customFormat="false" ht="15" hidden="false" customHeight="false" outlineLevel="0" collapsed="false">
      <c r="A9" s="5" t="n">
        <v>3</v>
      </c>
      <c r="B9" s="5" t="s">
        <v>17</v>
      </c>
      <c r="C9" s="6" t="s">
        <v>18</v>
      </c>
      <c r="D9" s="7" t="s">
        <v>12</v>
      </c>
      <c r="E9" s="7" t="s">
        <v>12</v>
      </c>
      <c r="F9" s="5" t="str">
        <f aca="false">IF(COUNTIF(D9,"☐")+COUNTIF(E9,"☐")=0,"Done","Pending")</f>
        <v>Pending</v>
      </c>
    </row>
    <row r="10" customFormat="false" ht="15" hidden="false" customHeight="false" outlineLevel="0" collapsed="false">
      <c r="A10" s="5" t="n">
        <v>4</v>
      </c>
      <c r="B10" s="5" t="s">
        <v>19</v>
      </c>
      <c r="C10" s="6" t="s">
        <v>20</v>
      </c>
      <c r="D10" s="7" t="s">
        <v>12</v>
      </c>
      <c r="E10" s="7" t="s">
        <v>12</v>
      </c>
      <c r="F10" s="5" t="str">
        <f aca="false">IF(COUNTIF(D10,"☐")+COUNTIF(E10,"☐")=0,"Done","Pending")</f>
        <v>Pending</v>
      </c>
    </row>
    <row r="11" customFormat="false" ht="15" hidden="false" customHeight="false" outlineLevel="0" collapsed="false">
      <c r="A11" s="5" t="n">
        <v>5</v>
      </c>
      <c r="B11" s="5" t="s">
        <v>21</v>
      </c>
      <c r="C11" s="6" t="s">
        <v>22</v>
      </c>
      <c r="D11" s="7" t="s">
        <v>12</v>
      </c>
      <c r="E11" s="7" t="s">
        <v>12</v>
      </c>
      <c r="F11" s="5" t="str">
        <f aca="false">IF(COUNTIF(D11,"☐")+COUNTIF(E11,"☐")=0,"Done","Pending")</f>
        <v>Pending</v>
      </c>
    </row>
    <row r="12" customFormat="false" ht="15" hidden="false" customHeight="false" outlineLevel="0" collapsed="false">
      <c r="A12" s="5" t="n">
        <v>6</v>
      </c>
      <c r="B12" s="5" t="s">
        <v>23</v>
      </c>
      <c r="C12" s="6" t="s">
        <v>24</v>
      </c>
      <c r="D12" s="7" t="s">
        <v>12</v>
      </c>
      <c r="E12" s="7" t="s">
        <v>12</v>
      </c>
      <c r="F12" s="5" t="str">
        <f aca="false">IF(COUNTIF(D12,"☐")+COUNTIF(E12,"☐")=0,"Done","Pending")</f>
        <v>Pending</v>
      </c>
    </row>
    <row r="13" customFormat="false" ht="15" hidden="false" customHeight="false" outlineLevel="0" collapsed="false">
      <c r="A13" s="5" t="n">
        <v>7</v>
      </c>
      <c r="B13" s="5" t="s">
        <v>25</v>
      </c>
      <c r="C13" s="6" t="s">
        <v>26</v>
      </c>
      <c r="D13" s="7" t="s">
        <v>12</v>
      </c>
      <c r="E13" s="7" t="s">
        <v>12</v>
      </c>
      <c r="F13" s="5" t="str">
        <f aca="false">IF(COUNTIF(D13,"☐")+COUNTIF(E13,"☐")=0,"Done","Pending")</f>
        <v>Pending</v>
      </c>
    </row>
    <row r="14" customFormat="false" ht="15" hidden="false" customHeight="false" outlineLevel="0" collapsed="false">
      <c r="A14" s="5" t="n">
        <v>8</v>
      </c>
      <c r="B14" s="5" t="s">
        <v>27</v>
      </c>
      <c r="C14" s="6" t="s">
        <v>28</v>
      </c>
      <c r="D14" s="7" t="s">
        <v>12</v>
      </c>
      <c r="E14" s="7" t="s">
        <v>12</v>
      </c>
      <c r="F14" s="5" t="str">
        <f aca="false">IF(COUNTIF(D14,"☐")+COUNTIF(E14,"☐")=0,"Done","Pending")</f>
        <v>Pending</v>
      </c>
    </row>
    <row r="15" customFormat="false" ht="15" hidden="false" customHeight="false" outlineLevel="0" collapsed="false">
      <c r="A15" s="5" t="n">
        <v>9</v>
      </c>
      <c r="B15" s="5" t="s">
        <v>29</v>
      </c>
      <c r="C15" s="6" t="s">
        <v>30</v>
      </c>
      <c r="D15" s="7" t="s">
        <v>12</v>
      </c>
      <c r="E15" s="7" t="s">
        <v>12</v>
      </c>
      <c r="F15" s="5" t="str">
        <f aca="false">IF(COUNTIF(D15,"☐")+COUNTIF(E15,"☐")=0,"Done","Pending")</f>
        <v>Pending</v>
      </c>
    </row>
    <row r="16" customFormat="false" ht="15" hidden="false" customHeight="false" outlineLevel="0" collapsed="false">
      <c r="A16" s="5" t="n">
        <v>10</v>
      </c>
      <c r="B16" s="5" t="s">
        <v>31</v>
      </c>
      <c r="C16" s="6" t="s">
        <v>32</v>
      </c>
      <c r="D16" s="7" t="s">
        <v>12</v>
      </c>
      <c r="E16" s="7" t="s">
        <v>12</v>
      </c>
      <c r="F16" s="5" t="str">
        <f aca="false">IF(COUNTIF(D16,"☐")+COUNTIF(E16,"☐")=0,"Done","Pending")</f>
        <v>Pending</v>
      </c>
    </row>
    <row r="17" customFormat="false" ht="15" hidden="false" customHeight="false" outlineLevel="0" collapsed="false">
      <c r="A17" s="5" t="n">
        <v>13</v>
      </c>
      <c r="B17" s="5" t="s">
        <v>33</v>
      </c>
      <c r="C17" s="6" t="s">
        <v>34</v>
      </c>
      <c r="D17" s="7" t="s">
        <v>12</v>
      </c>
      <c r="E17" s="7" t="s">
        <v>12</v>
      </c>
      <c r="F17" s="5" t="str">
        <f aca="false">IF(COUNTIF(D17,"☐")+COUNTIF(E17,"☐")=0,"Done","Pending")</f>
        <v>Pending</v>
      </c>
    </row>
    <row r="18" customFormat="false" ht="15" hidden="false" customHeight="false" outlineLevel="0" collapsed="false">
      <c r="A18" s="5" t="n">
        <v>14</v>
      </c>
      <c r="B18" s="5" t="s">
        <v>35</v>
      </c>
      <c r="C18" s="6" t="s">
        <v>36</v>
      </c>
      <c r="D18" s="7" t="s">
        <v>12</v>
      </c>
      <c r="E18" s="7" t="s">
        <v>12</v>
      </c>
      <c r="F18" s="5" t="str">
        <f aca="false">IF(COUNTIF(D18,"☐")+COUNTIF(E18,"☐")=0,"Done","Pending")</f>
        <v>Pending</v>
      </c>
    </row>
    <row r="19" customFormat="false" ht="15" hidden="false" customHeight="false" outlineLevel="0" collapsed="false">
      <c r="A19" s="5" t="n">
        <v>15</v>
      </c>
      <c r="B19" s="5" t="s">
        <v>37</v>
      </c>
      <c r="C19" s="6" t="s">
        <v>38</v>
      </c>
      <c r="D19" s="7" t="s">
        <v>12</v>
      </c>
      <c r="E19" s="7" t="s">
        <v>12</v>
      </c>
      <c r="F19" s="5" t="str">
        <f aca="false">IF(COUNTIF(D19,"☐")+COUNTIF(E19,"☐")=0,"Done","Pending")</f>
        <v>Pending</v>
      </c>
    </row>
    <row r="20" customFormat="false" ht="15" hidden="false" customHeight="false" outlineLevel="0" collapsed="false">
      <c r="A20" s="5" t="n">
        <v>16</v>
      </c>
      <c r="B20" s="5" t="s">
        <v>39</v>
      </c>
      <c r="C20" s="6" t="s">
        <v>40</v>
      </c>
      <c r="D20" s="7" t="s">
        <v>12</v>
      </c>
      <c r="E20" s="7" t="s">
        <v>12</v>
      </c>
      <c r="F20" s="5" t="str">
        <f aca="false">IF(COUNTIF(D20,"☐")+COUNTIF(E20,"☐")=0,"Done","Pending")</f>
        <v>Pending</v>
      </c>
    </row>
    <row r="21" customFormat="false" ht="15" hidden="false" customHeight="false" outlineLevel="0" collapsed="false">
      <c r="A21" s="5" t="n">
        <v>17</v>
      </c>
      <c r="B21" s="5" t="s">
        <v>41</v>
      </c>
      <c r="C21" s="6" t="s">
        <v>42</v>
      </c>
      <c r="D21" s="7" t="s">
        <v>12</v>
      </c>
      <c r="E21" s="7" t="s">
        <v>12</v>
      </c>
      <c r="F21" s="5" t="str">
        <f aca="false">IF(COUNTIF(D21,"☐")+COUNTIF(E21,"☐")=0,"Done","Pending")</f>
        <v>Pending</v>
      </c>
    </row>
    <row r="22" customFormat="false" ht="15" hidden="false" customHeight="false" outlineLevel="0" collapsed="false">
      <c r="A22" s="5" t="n">
        <v>18</v>
      </c>
      <c r="B22" s="5" t="s">
        <v>43</v>
      </c>
      <c r="C22" s="6" t="s">
        <v>44</v>
      </c>
      <c r="D22" s="7" t="s">
        <v>12</v>
      </c>
      <c r="E22" s="7" t="s">
        <v>12</v>
      </c>
      <c r="F22" s="5" t="str">
        <f aca="false">IF(COUNTIF(D22,"☐")+COUNTIF(E22,"☐")=0,"Done","Pending")</f>
        <v>Pending</v>
      </c>
    </row>
    <row r="23" customFormat="false" ht="15" hidden="false" customHeight="false" outlineLevel="0" collapsed="false">
      <c r="A23" s="5" t="n">
        <v>19</v>
      </c>
      <c r="B23" s="5" t="s">
        <v>45</v>
      </c>
      <c r="C23" s="6" t="s">
        <v>46</v>
      </c>
      <c r="D23" s="7" t="s">
        <v>12</v>
      </c>
      <c r="E23" s="7" t="s">
        <v>12</v>
      </c>
      <c r="F23" s="5" t="str">
        <f aca="false">IF(COUNTIF(D23,"☐")+COUNTIF(E23,"☐")=0,"Done","Pending")</f>
        <v>Pending</v>
      </c>
    </row>
    <row r="24" customFormat="false" ht="15" hidden="false" customHeight="false" outlineLevel="0" collapsed="false">
      <c r="A24" s="5" t="n">
        <v>20</v>
      </c>
      <c r="B24" s="5" t="s">
        <v>47</v>
      </c>
      <c r="C24" s="6" t="s">
        <v>48</v>
      </c>
      <c r="D24" s="7" t="s">
        <v>12</v>
      </c>
      <c r="E24" s="7" t="s">
        <v>12</v>
      </c>
      <c r="F24" s="5" t="str">
        <f aca="false">IF(COUNTIF(D24,"☐")+COUNTIF(E24,"☐")=0,"Done","Pending")</f>
        <v>Pending</v>
      </c>
    </row>
    <row r="25" customFormat="false" ht="15" hidden="false" customHeight="false" outlineLevel="0" collapsed="false">
      <c r="A25" s="5" t="n">
        <v>21</v>
      </c>
      <c r="B25" s="5" t="s">
        <v>49</v>
      </c>
      <c r="C25" s="6" t="s">
        <v>50</v>
      </c>
      <c r="D25" s="7" t="s">
        <v>12</v>
      </c>
      <c r="E25" s="7" t="s">
        <v>12</v>
      </c>
      <c r="F25" s="5" t="str">
        <f aca="false">IF(COUNTIF(D25,"☐")+COUNTIF(E25,"☐")=0,"Done","Pending")</f>
        <v>Pending</v>
      </c>
    </row>
    <row r="26" customFormat="false" ht="15" hidden="false" customHeight="false" outlineLevel="0" collapsed="false">
      <c r="A26" s="5" t="n">
        <v>22</v>
      </c>
      <c r="B26" s="5" t="s">
        <v>51</v>
      </c>
      <c r="C26" s="6" t="s">
        <v>52</v>
      </c>
      <c r="D26" s="7" t="s">
        <v>12</v>
      </c>
      <c r="E26" s="7" t="s">
        <v>12</v>
      </c>
      <c r="F26" s="5" t="str">
        <f aca="false">IF(COUNTIF(D26,"☐")+COUNTIF(E26,"☐")=0,"Done","Pending")</f>
        <v>Pending</v>
      </c>
    </row>
    <row r="27" customFormat="false" ht="15" hidden="false" customHeight="false" outlineLevel="0" collapsed="false">
      <c r="A27" s="5" t="n">
        <v>25</v>
      </c>
      <c r="B27" s="5" t="s">
        <v>53</v>
      </c>
      <c r="C27" s="6" t="s">
        <v>54</v>
      </c>
      <c r="D27" s="7" t="s">
        <v>12</v>
      </c>
      <c r="E27" s="7" t="s">
        <v>12</v>
      </c>
      <c r="F27" s="5" t="str">
        <f aca="false">IF(COUNTIF(D27,"☐")+COUNTIF(E27,"☐")=0,"Done","Pending")</f>
        <v>Pending</v>
      </c>
    </row>
    <row r="28" customFormat="false" ht="15" hidden="false" customHeight="false" outlineLevel="0" collapsed="false">
      <c r="A28" s="5" t="n">
        <v>26</v>
      </c>
      <c r="B28" s="5" t="s">
        <v>55</v>
      </c>
      <c r="C28" s="6" t="s">
        <v>56</v>
      </c>
      <c r="D28" s="7" t="s">
        <v>12</v>
      </c>
      <c r="E28" s="7" t="s">
        <v>12</v>
      </c>
      <c r="F28" s="5" t="str">
        <f aca="false">IF(COUNTIF(D28,"☐")+COUNTIF(E28,"☐")=0,"Done","Pending")</f>
        <v>Pending</v>
      </c>
    </row>
    <row r="30" customFormat="false" ht="15" hidden="false" customHeight="false" outlineLevel="0" collapsed="false">
      <c r="A30" s="8" t="s">
        <v>57</v>
      </c>
      <c r="B30" s="9" t="n">
        <f aca="false">COUNTA(A6:A28)</f>
        <v>23</v>
      </c>
    </row>
    <row r="31" customFormat="false" ht="15" hidden="false" customHeight="false" outlineLevel="0" collapsed="false">
      <c r="A31" s="8" t="s">
        <v>58</v>
      </c>
      <c r="B31" s="9" t="n">
        <f aca="false">COUNTIF(D6:D28,"☑")</f>
        <v>0</v>
      </c>
    </row>
    <row r="32" customFormat="false" ht="15" hidden="false" customHeight="false" outlineLevel="0" collapsed="false">
      <c r="A32" s="8" t="s">
        <v>59</v>
      </c>
      <c r="B32" s="9" t="n">
        <f aca="false">COUNTIF(E6:E28,"☑")</f>
        <v>0</v>
      </c>
    </row>
    <row r="33" customFormat="false" ht="15" hidden="false" customHeight="false" outlineLevel="0" collapsed="false">
      <c r="A33" s="8" t="s">
        <v>60</v>
      </c>
      <c r="B33" s="9" t="n">
        <f aca="false">COUNTIF(F6:F28,"Done")</f>
        <v>0</v>
      </c>
    </row>
    <row r="34" customFormat="false" ht="15" hidden="false" customHeight="false" outlineLevel="0" collapsed="false">
      <c r="A34" s="8" t="s">
        <v>61</v>
      </c>
      <c r="B34" s="10" t="n">
        <f aca="false">IF(B30=0,0,B33/B30)</f>
        <v>0</v>
      </c>
    </row>
  </sheetData>
  <conditionalFormatting sqref="A6:F28">
    <cfRule type="expression" priority="2" aboveAverage="0" equalAverage="0" bottom="0" percent="0" rank="0" text="" dxfId="0">
      <formula>$F6="Done"</formula>
    </cfRule>
  </conditionalFormatting>
  <conditionalFormatting sqref="D6:E28">
    <cfRule type="cellIs" priority="3" operator="equal" aboveAverage="0" equalAverage="0" bottom="0" percent="0" rank="0" text="" dxfId="0">
      <formula>"☑"</formula>
    </cfRule>
  </conditionalFormatting>
  <conditionalFormatting sqref="F6:F28">
    <cfRule type="cellIs" priority="4" operator="equal" aboveAverage="0" equalAverage="0" bottom="0" percent="0" rank="0" text="" dxfId="1">
      <formula>"Fault"</formula>
    </cfRule>
    <cfRule type="cellIs" priority="5" operator="equal" aboveAverage="0" equalAverage="0" bottom="0" percent="0" rank="0" text="" dxfId="2">
      <formula>"In progress"</formula>
    </cfRule>
  </conditionalFormatting>
  <dataValidations count="1">
    <dataValidation allowBlank="false" errorStyle="stop" operator="between" showDropDown="false" showErrorMessage="false" showInputMessage="false" sqref="D6:E28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63</v>
      </c>
    </row>
    <row r="5" customFormat="false" ht="23.85" hidden="false" customHeight="false" outlineLevel="0" collapsed="false">
      <c r="A5" s="4" t="s">
        <v>5</v>
      </c>
      <c r="B5" s="4" t="s">
        <v>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8</v>
      </c>
      <c r="K5" s="4" t="s">
        <v>71</v>
      </c>
    </row>
    <row r="6" customFormat="false" ht="15" hidden="false" customHeight="false" outlineLevel="0" collapsed="false">
      <c r="A6" s="6" t="s">
        <v>34</v>
      </c>
      <c r="B6" s="5" t="s">
        <v>72</v>
      </c>
      <c r="C6" s="5" t="s">
        <v>73</v>
      </c>
      <c r="D6" s="5" t="s">
        <v>73</v>
      </c>
      <c r="E6" s="5" t="s">
        <v>74</v>
      </c>
      <c r="F6" s="6" t="s">
        <v>75</v>
      </c>
      <c r="G6" s="7" t="s">
        <v>12</v>
      </c>
      <c r="H6" s="7" t="s">
        <v>12</v>
      </c>
      <c r="I6" s="11" t="s">
        <v>73</v>
      </c>
      <c r="J6" s="5" t="str">
        <f aca="false">IF(COUNTIF(G6,"☐")+COUNTIF(H6,"☐")=0,"Done","Pending")</f>
        <v>Pending</v>
      </c>
      <c r="K6" s="12"/>
    </row>
    <row r="7" customFormat="false" ht="15" hidden="false" customHeight="false" outlineLevel="0" collapsed="false">
      <c r="A7" s="6" t="s">
        <v>34</v>
      </c>
      <c r="B7" s="5" t="s">
        <v>76</v>
      </c>
      <c r="C7" s="5" t="s">
        <v>77</v>
      </c>
      <c r="D7" s="5" t="s">
        <v>78</v>
      </c>
      <c r="E7" s="5" t="s">
        <v>79</v>
      </c>
      <c r="F7" s="6" t="s">
        <v>80</v>
      </c>
      <c r="G7" s="7" t="s">
        <v>12</v>
      </c>
      <c r="H7" s="7" t="s">
        <v>12</v>
      </c>
      <c r="I7" s="7" t="s">
        <v>12</v>
      </c>
      <c r="J7" s="5" t="str">
        <f aca="false">IF(COUNTIF(G7,"☐")+COUNTIF(H7,"☐")+COUNTIF(I7,"☐")=0,"Done","Pending")</f>
        <v>Pending</v>
      </c>
      <c r="K7" s="12"/>
    </row>
    <row r="8" customFormat="false" ht="15" hidden="false" customHeight="false" outlineLevel="0" collapsed="false">
      <c r="A8" s="6" t="s">
        <v>34</v>
      </c>
      <c r="B8" s="5" t="s">
        <v>81</v>
      </c>
      <c r="C8" s="5" t="s">
        <v>73</v>
      </c>
      <c r="D8" s="5" t="s">
        <v>73</v>
      </c>
      <c r="E8" s="5" t="s">
        <v>33</v>
      </c>
      <c r="F8" s="6" t="s">
        <v>82</v>
      </c>
      <c r="G8" s="7" t="s">
        <v>12</v>
      </c>
      <c r="H8" s="7" t="s">
        <v>12</v>
      </c>
      <c r="I8" s="11" t="s">
        <v>73</v>
      </c>
      <c r="J8" s="5" t="str">
        <f aca="false">IF(COUNTIF(G8,"☐")+COUNTIF(H8,"☐")=0,"Done","Pending")</f>
        <v>Pending</v>
      </c>
      <c r="K8" s="12"/>
    </row>
    <row r="9" customFormat="false" ht="15" hidden="false" customHeight="false" outlineLevel="0" collapsed="false">
      <c r="A9" s="6" t="s">
        <v>34</v>
      </c>
      <c r="B9" s="5" t="s">
        <v>83</v>
      </c>
      <c r="C9" s="5" t="s">
        <v>73</v>
      </c>
      <c r="D9" s="5" t="s">
        <v>73</v>
      </c>
      <c r="E9" s="5" t="s">
        <v>84</v>
      </c>
      <c r="F9" s="6" t="s">
        <v>85</v>
      </c>
      <c r="G9" s="7" t="s">
        <v>12</v>
      </c>
      <c r="H9" s="7" t="s">
        <v>12</v>
      </c>
      <c r="I9" s="11" t="s">
        <v>73</v>
      </c>
      <c r="J9" s="5" t="str">
        <f aca="false">IF(COUNTIF(G9,"☐")+COUNTIF(H9,"☐")=0,"Done","Pending")</f>
        <v>Pending</v>
      </c>
      <c r="K9" s="12"/>
    </row>
    <row r="10" customFormat="false" ht="15" hidden="false" customHeight="false" outlineLevel="0" collapsed="false">
      <c r="A10" s="13" t="s">
        <v>36</v>
      </c>
      <c r="B10" s="14" t="s">
        <v>72</v>
      </c>
      <c r="C10" s="14" t="s">
        <v>73</v>
      </c>
      <c r="D10" s="14" t="s">
        <v>73</v>
      </c>
      <c r="E10" s="14" t="s">
        <v>86</v>
      </c>
      <c r="F10" s="13" t="s">
        <v>75</v>
      </c>
      <c r="G10" s="7" t="s">
        <v>12</v>
      </c>
      <c r="H10" s="7" t="s">
        <v>12</v>
      </c>
      <c r="I10" s="15" t="s">
        <v>73</v>
      </c>
      <c r="J10" s="14" t="str">
        <f aca="false">IF(COUNTIF(G10,"☐")+COUNTIF(H10,"☐")=0,"Done","Pending")</f>
        <v>Pending</v>
      </c>
      <c r="K10" s="16"/>
    </row>
    <row r="11" customFormat="false" ht="15" hidden="false" customHeight="false" outlineLevel="0" collapsed="false">
      <c r="A11" s="13" t="s">
        <v>36</v>
      </c>
      <c r="B11" s="14" t="s">
        <v>76</v>
      </c>
      <c r="C11" s="14" t="s">
        <v>77</v>
      </c>
      <c r="D11" s="14" t="s">
        <v>87</v>
      </c>
      <c r="E11" s="14" t="s">
        <v>88</v>
      </c>
      <c r="F11" s="13" t="s">
        <v>89</v>
      </c>
      <c r="G11" s="7" t="s">
        <v>12</v>
      </c>
      <c r="H11" s="7" t="s">
        <v>12</v>
      </c>
      <c r="I11" s="7" t="s">
        <v>12</v>
      </c>
      <c r="J11" s="14" t="str">
        <f aca="false">IF(COUNTIF(G11,"☐")+COUNTIF(H11,"☐")+COUNTIF(I11,"☐")=0,"Done","Pending")</f>
        <v>Pending</v>
      </c>
      <c r="K11" s="16"/>
    </row>
    <row r="12" customFormat="false" ht="15" hidden="false" customHeight="false" outlineLevel="0" collapsed="false">
      <c r="A12" s="13" t="s">
        <v>36</v>
      </c>
      <c r="B12" s="14" t="s">
        <v>81</v>
      </c>
      <c r="C12" s="14" t="s">
        <v>73</v>
      </c>
      <c r="D12" s="14" t="s">
        <v>73</v>
      </c>
      <c r="E12" s="14" t="s">
        <v>35</v>
      </c>
      <c r="F12" s="13" t="s">
        <v>90</v>
      </c>
      <c r="G12" s="7" t="s">
        <v>12</v>
      </c>
      <c r="H12" s="7" t="s">
        <v>12</v>
      </c>
      <c r="I12" s="15" t="s">
        <v>73</v>
      </c>
      <c r="J12" s="14" t="str">
        <f aca="false">IF(COUNTIF(G12,"☐")+COUNTIF(H12,"☐")=0,"Done","Pending")</f>
        <v>Pending</v>
      </c>
      <c r="K12" s="16"/>
    </row>
    <row r="13" customFormat="false" ht="15" hidden="false" customHeight="false" outlineLevel="0" collapsed="false">
      <c r="A13" s="13" t="s">
        <v>36</v>
      </c>
      <c r="B13" s="14" t="s">
        <v>83</v>
      </c>
      <c r="C13" s="14" t="s">
        <v>73</v>
      </c>
      <c r="D13" s="14" t="s">
        <v>73</v>
      </c>
      <c r="E13" s="14" t="s">
        <v>91</v>
      </c>
      <c r="F13" s="13" t="s">
        <v>92</v>
      </c>
      <c r="G13" s="7" t="s">
        <v>12</v>
      </c>
      <c r="H13" s="7" t="s">
        <v>12</v>
      </c>
      <c r="I13" s="15" t="s">
        <v>73</v>
      </c>
      <c r="J13" s="14" t="str">
        <f aca="false">IF(COUNTIF(G13,"☐")+COUNTIF(H13,"☐")=0,"Done","Pending")</f>
        <v>Pending</v>
      </c>
      <c r="K13" s="16"/>
    </row>
    <row r="14" customFormat="false" ht="15" hidden="false" customHeight="false" outlineLevel="0" collapsed="false">
      <c r="A14" s="6" t="s">
        <v>38</v>
      </c>
      <c r="B14" s="5" t="s">
        <v>72</v>
      </c>
      <c r="C14" s="5" t="s">
        <v>73</v>
      </c>
      <c r="D14" s="5" t="s">
        <v>73</v>
      </c>
      <c r="E14" s="5" t="s">
        <v>93</v>
      </c>
      <c r="F14" s="6" t="s">
        <v>75</v>
      </c>
      <c r="G14" s="7" t="s">
        <v>12</v>
      </c>
      <c r="H14" s="7" t="s">
        <v>12</v>
      </c>
      <c r="I14" s="11" t="s">
        <v>73</v>
      </c>
      <c r="J14" s="5" t="str">
        <f aca="false">IF(COUNTIF(G14,"☐")+COUNTIF(H14,"☐")=0,"Done","Pending")</f>
        <v>Pending</v>
      </c>
      <c r="K14" s="12"/>
    </row>
    <row r="15" customFormat="false" ht="15" hidden="false" customHeight="false" outlineLevel="0" collapsed="false">
      <c r="A15" s="6" t="s">
        <v>38</v>
      </c>
      <c r="B15" s="5" t="s">
        <v>76</v>
      </c>
      <c r="C15" s="5" t="s">
        <v>77</v>
      </c>
      <c r="D15" s="5" t="s">
        <v>94</v>
      </c>
      <c r="E15" s="5" t="s">
        <v>95</v>
      </c>
      <c r="F15" s="6" t="s">
        <v>96</v>
      </c>
      <c r="G15" s="7" t="s">
        <v>12</v>
      </c>
      <c r="H15" s="7" t="s">
        <v>12</v>
      </c>
      <c r="I15" s="7" t="s">
        <v>12</v>
      </c>
      <c r="J15" s="5" t="str">
        <f aca="false">IF(COUNTIF(G15,"☐")+COUNTIF(H15,"☐")+COUNTIF(I15,"☐")=0,"Done","Pending")</f>
        <v>Pending</v>
      </c>
      <c r="K15" s="12"/>
    </row>
    <row r="16" customFormat="false" ht="15" hidden="false" customHeight="false" outlineLevel="0" collapsed="false">
      <c r="A16" s="6" t="s">
        <v>38</v>
      </c>
      <c r="B16" s="5" t="s">
        <v>81</v>
      </c>
      <c r="C16" s="5" t="s">
        <v>73</v>
      </c>
      <c r="D16" s="5" t="s">
        <v>73</v>
      </c>
      <c r="E16" s="5" t="s">
        <v>37</v>
      </c>
      <c r="F16" s="6" t="s">
        <v>97</v>
      </c>
      <c r="G16" s="7" t="s">
        <v>12</v>
      </c>
      <c r="H16" s="7" t="s">
        <v>12</v>
      </c>
      <c r="I16" s="11" t="s">
        <v>73</v>
      </c>
      <c r="J16" s="5" t="str">
        <f aca="false">IF(COUNTIF(G16,"☐")+COUNTIF(H16,"☐")=0,"Done","Pending")</f>
        <v>Pending</v>
      </c>
      <c r="K16" s="12"/>
    </row>
    <row r="17" customFormat="false" ht="15" hidden="false" customHeight="false" outlineLevel="0" collapsed="false">
      <c r="A17" s="6" t="s">
        <v>38</v>
      </c>
      <c r="B17" s="5" t="s">
        <v>83</v>
      </c>
      <c r="C17" s="5" t="s">
        <v>73</v>
      </c>
      <c r="D17" s="5" t="s">
        <v>73</v>
      </c>
      <c r="E17" s="5" t="s">
        <v>98</v>
      </c>
      <c r="F17" s="6" t="s">
        <v>99</v>
      </c>
      <c r="G17" s="7" t="s">
        <v>12</v>
      </c>
      <c r="H17" s="7" t="s">
        <v>12</v>
      </c>
      <c r="I17" s="11" t="s">
        <v>73</v>
      </c>
      <c r="J17" s="5" t="str">
        <f aca="false">IF(COUNTIF(G17,"☐")+COUNTIF(H17,"☐")=0,"Done","Pending")</f>
        <v>Pending</v>
      </c>
      <c r="K17" s="12"/>
    </row>
    <row r="18" customFormat="false" ht="15" hidden="false" customHeight="false" outlineLevel="0" collapsed="false">
      <c r="A18" s="13" t="s">
        <v>40</v>
      </c>
      <c r="B18" s="14" t="s">
        <v>72</v>
      </c>
      <c r="C18" s="14" t="s">
        <v>73</v>
      </c>
      <c r="D18" s="14" t="s">
        <v>73</v>
      </c>
      <c r="E18" s="14" t="s">
        <v>100</v>
      </c>
      <c r="F18" s="13" t="s">
        <v>101</v>
      </c>
      <c r="G18" s="7" t="s">
        <v>12</v>
      </c>
      <c r="H18" s="7" t="s">
        <v>12</v>
      </c>
      <c r="I18" s="15" t="s">
        <v>73</v>
      </c>
      <c r="J18" s="14" t="str">
        <f aca="false">IF(COUNTIF(G18,"☐")+COUNTIF(H18,"☐")=0,"Done","Pending")</f>
        <v>Pending</v>
      </c>
      <c r="K18" s="16"/>
    </row>
    <row r="19" customFormat="false" ht="15" hidden="false" customHeight="false" outlineLevel="0" collapsed="false">
      <c r="A19" s="13" t="s">
        <v>40</v>
      </c>
      <c r="B19" s="14" t="s">
        <v>76</v>
      </c>
      <c r="C19" s="14" t="s">
        <v>77</v>
      </c>
      <c r="D19" s="14" t="s">
        <v>102</v>
      </c>
      <c r="E19" s="14" t="s">
        <v>103</v>
      </c>
      <c r="F19" s="13" t="s">
        <v>104</v>
      </c>
      <c r="G19" s="7" t="s">
        <v>12</v>
      </c>
      <c r="H19" s="7" t="s">
        <v>12</v>
      </c>
      <c r="I19" s="7" t="s">
        <v>12</v>
      </c>
      <c r="J19" s="14" t="str">
        <f aca="false">IF(COUNTIF(G19,"☐")+COUNTIF(H19,"☐")+COUNTIF(I19,"☐")=0,"Done","Pending")</f>
        <v>Pending</v>
      </c>
      <c r="K19" s="16"/>
    </row>
    <row r="20" customFormat="false" ht="15" hidden="false" customHeight="false" outlineLevel="0" collapsed="false">
      <c r="A20" s="13" t="s">
        <v>40</v>
      </c>
      <c r="B20" s="14" t="s">
        <v>81</v>
      </c>
      <c r="C20" s="14" t="s">
        <v>73</v>
      </c>
      <c r="D20" s="14" t="s">
        <v>73</v>
      </c>
      <c r="E20" s="14" t="s">
        <v>39</v>
      </c>
      <c r="F20" s="13" t="s">
        <v>105</v>
      </c>
      <c r="G20" s="7" t="s">
        <v>12</v>
      </c>
      <c r="H20" s="7" t="s">
        <v>12</v>
      </c>
      <c r="I20" s="15" t="s">
        <v>73</v>
      </c>
      <c r="J20" s="14" t="str">
        <f aca="false">IF(COUNTIF(G20,"☐")+COUNTIF(H20,"☐")=0,"Done","Pending")</f>
        <v>Pending</v>
      </c>
      <c r="K20" s="16"/>
    </row>
    <row r="21" customFormat="false" ht="15" hidden="false" customHeight="false" outlineLevel="0" collapsed="false">
      <c r="A21" s="13" t="s">
        <v>40</v>
      </c>
      <c r="B21" s="14" t="s">
        <v>83</v>
      </c>
      <c r="C21" s="14" t="s">
        <v>73</v>
      </c>
      <c r="D21" s="14" t="s">
        <v>73</v>
      </c>
      <c r="E21" s="14" t="s">
        <v>106</v>
      </c>
      <c r="F21" s="13" t="s">
        <v>107</v>
      </c>
      <c r="G21" s="7" t="s">
        <v>12</v>
      </c>
      <c r="H21" s="7" t="s">
        <v>12</v>
      </c>
      <c r="I21" s="15" t="s">
        <v>73</v>
      </c>
      <c r="J21" s="14" t="str">
        <f aca="false">IF(COUNTIF(G21,"☐")+COUNTIF(H21,"☐")=0,"Done","Pending")</f>
        <v>Pending</v>
      </c>
      <c r="K21" s="16"/>
    </row>
    <row r="22" customFormat="false" ht="15" hidden="false" customHeight="false" outlineLevel="0" collapsed="false">
      <c r="A22" s="6" t="s">
        <v>42</v>
      </c>
      <c r="B22" s="5" t="s">
        <v>72</v>
      </c>
      <c r="C22" s="5" t="s">
        <v>73</v>
      </c>
      <c r="D22" s="5" t="s">
        <v>73</v>
      </c>
      <c r="E22" s="5" t="s">
        <v>108</v>
      </c>
      <c r="F22" s="6" t="s">
        <v>101</v>
      </c>
      <c r="G22" s="7" t="s">
        <v>12</v>
      </c>
      <c r="H22" s="7" t="s">
        <v>12</v>
      </c>
      <c r="I22" s="11" t="s">
        <v>73</v>
      </c>
      <c r="J22" s="5" t="str">
        <f aca="false">IF(COUNTIF(G22,"☐")+COUNTIF(H22,"☐")=0,"Done","Pending")</f>
        <v>Pending</v>
      </c>
      <c r="K22" s="12"/>
    </row>
    <row r="23" customFormat="false" ht="15" hidden="false" customHeight="false" outlineLevel="0" collapsed="false">
      <c r="A23" s="6" t="s">
        <v>42</v>
      </c>
      <c r="B23" s="5" t="s">
        <v>76</v>
      </c>
      <c r="C23" s="5" t="s">
        <v>77</v>
      </c>
      <c r="D23" s="5" t="s">
        <v>109</v>
      </c>
      <c r="E23" s="5" t="s">
        <v>110</v>
      </c>
      <c r="F23" s="6" t="s">
        <v>111</v>
      </c>
      <c r="G23" s="7" t="s">
        <v>12</v>
      </c>
      <c r="H23" s="7" t="s">
        <v>12</v>
      </c>
      <c r="I23" s="7" t="s">
        <v>12</v>
      </c>
      <c r="J23" s="5" t="str">
        <f aca="false">IF(COUNTIF(G23,"☐")+COUNTIF(H23,"☐")+COUNTIF(I23,"☐")=0,"Done","Pending")</f>
        <v>Pending</v>
      </c>
      <c r="K23" s="12"/>
    </row>
    <row r="24" customFormat="false" ht="15" hidden="false" customHeight="false" outlineLevel="0" collapsed="false">
      <c r="A24" s="6" t="s">
        <v>42</v>
      </c>
      <c r="B24" s="5" t="s">
        <v>81</v>
      </c>
      <c r="C24" s="5" t="s">
        <v>73</v>
      </c>
      <c r="D24" s="5" t="s">
        <v>73</v>
      </c>
      <c r="E24" s="5" t="s">
        <v>41</v>
      </c>
      <c r="F24" s="6" t="s">
        <v>112</v>
      </c>
      <c r="G24" s="7" t="s">
        <v>12</v>
      </c>
      <c r="H24" s="7" t="s">
        <v>12</v>
      </c>
      <c r="I24" s="11" t="s">
        <v>73</v>
      </c>
      <c r="J24" s="5" t="str">
        <f aca="false">IF(COUNTIF(G24,"☐")+COUNTIF(H24,"☐")=0,"Done","Pending")</f>
        <v>Pending</v>
      </c>
      <c r="K24" s="12"/>
    </row>
    <row r="25" customFormat="false" ht="15" hidden="false" customHeight="false" outlineLevel="0" collapsed="false">
      <c r="A25" s="6" t="s">
        <v>42</v>
      </c>
      <c r="B25" s="5" t="s">
        <v>83</v>
      </c>
      <c r="C25" s="5" t="s">
        <v>73</v>
      </c>
      <c r="D25" s="5" t="s">
        <v>73</v>
      </c>
      <c r="E25" s="5" t="s">
        <v>113</v>
      </c>
      <c r="F25" s="6" t="s">
        <v>114</v>
      </c>
      <c r="G25" s="7" t="s">
        <v>12</v>
      </c>
      <c r="H25" s="7" t="s">
        <v>12</v>
      </c>
      <c r="I25" s="11" t="s">
        <v>73</v>
      </c>
      <c r="J25" s="5" t="str">
        <f aca="false">IF(COUNTIF(G25,"☐")+COUNTIF(H25,"☐")=0,"Done","Pending")</f>
        <v>Pending</v>
      </c>
      <c r="K25" s="12"/>
    </row>
    <row r="26" customFormat="false" ht="15" hidden="false" customHeight="false" outlineLevel="0" collapsed="false">
      <c r="A26" s="13" t="s">
        <v>44</v>
      </c>
      <c r="B26" s="14" t="s">
        <v>72</v>
      </c>
      <c r="C26" s="14" t="s">
        <v>73</v>
      </c>
      <c r="D26" s="14" t="s">
        <v>73</v>
      </c>
      <c r="E26" s="14" t="s">
        <v>115</v>
      </c>
      <c r="F26" s="13" t="s">
        <v>101</v>
      </c>
      <c r="G26" s="7" t="s">
        <v>12</v>
      </c>
      <c r="H26" s="7" t="s">
        <v>12</v>
      </c>
      <c r="I26" s="15" t="s">
        <v>73</v>
      </c>
      <c r="J26" s="14" t="str">
        <f aca="false">IF(COUNTIF(G26,"☐")+COUNTIF(H26,"☐")=0,"Done","Pending")</f>
        <v>Pending</v>
      </c>
      <c r="K26" s="16"/>
    </row>
    <row r="27" customFormat="false" ht="15" hidden="false" customHeight="false" outlineLevel="0" collapsed="false">
      <c r="A27" s="13" t="s">
        <v>44</v>
      </c>
      <c r="B27" s="14" t="s">
        <v>76</v>
      </c>
      <c r="C27" s="14" t="s">
        <v>77</v>
      </c>
      <c r="D27" s="14" t="s">
        <v>116</v>
      </c>
      <c r="E27" s="14" t="s">
        <v>117</v>
      </c>
      <c r="F27" s="13" t="s">
        <v>118</v>
      </c>
      <c r="G27" s="7" t="s">
        <v>12</v>
      </c>
      <c r="H27" s="7" t="s">
        <v>12</v>
      </c>
      <c r="I27" s="7" t="s">
        <v>12</v>
      </c>
      <c r="J27" s="14" t="str">
        <f aca="false">IF(COUNTIF(G27,"☐")+COUNTIF(H27,"☐")+COUNTIF(I27,"☐")=0,"Done","Pending")</f>
        <v>Pending</v>
      </c>
      <c r="K27" s="16"/>
    </row>
    <row r="28" customFormat="false" ht="15" hidden="false" customHeight="false" outlineLevel="0" collapsed="false">
      <c r="A28" s="13" t="s">
        <v>44</v>
      </c>
      <c r="B28" s="14" t="s">
        <v>81</v>
      </c>
      <c r="C28" s="14" t="s">
        <v>73</v>
      </c>
      <c r="D28" s="14" t="s">
        <v>73</v>
      </c>
      <c r="E28" s="14" t="s">
        <v>43</v>
      </c>
      <c r="F28" s="13" t="s">
        <v>119</v>
      </c>
      <c r="G28" s="7" t="s">
        <v>12</v>
      </c>
      <c r="H28" s="7" t="s">
        <v>12</v>
      </c>
      <c r="I28" s="15" t="s">
        <v>73</v>
      </c>
      <c r="J28" s="14" t="str">
        <f aca="false">IF(COUNTIF(G28,"☐")+COUNTIF(H28,"☐")=0,"Done","Pending")</f>
        <v>Pending</v>
      </c>
      <c r="K28" s="16"/>
    </row>
    <row r="29" customFormat="false" ht="15" hidden="false" customHeight="false" outlineLevel="0" collapsed="false">
      <c r="A29" s="13" t="s">
        <v>44</v>
      </c>
      <c r="B29" s="14" t="s">
        <v>83</v>
      </c>
      <c r="C29" s="14" t="s">
        <v>73</v>
      </c>
      <c r="D29" s="14" t="s">
        <v>73</v>
      </c>
      <c r="E29" s="14" t="s">
        <v>120</v>
      </c>
      <c r="F29" s="13" t="s">
        <v>121</v>
      </c>
      <c r="G29" s="7" t="s">
        <v>12</v>
      </c>
      <c r="H29" s="7" t="s">
        <v>12</v>
      </c>
      <c r="I29" s="15" t="s">
        <v>73</v>
      </c>
      <c r="J29" s="14" t="str">
        <f aca="false">IF(COUNTIF(G29,"☐")+COUNTIF(H29,"☐")=0,"Done","Pending")</f>
        <v>Pending</v>
      </c>
      <c r="K29" s="16"/>
    </row>
    <row r="30" customFormat="false" ht="15" hidden="false" customHeight="false" outlineLevel="0" collapsed="false">
      <c r="A30" s="6" t="s">
        <v>46</v>
      </c>
      <c r="B30" s="5" t="s">
        <v>72</v>
      </c>
      <c r="C30" s="5" t="s">
        <v>73</v>
      </c>
      <c r="D30" s="5" t="s">
        <v>73</v>
      </c>
      <c r="E30" s="5" t="s">
        <v>122</v>
      </c>
      <c r="F30" s="6" t="s">
        <v>101</v>
      </c>
      <c r="G30" s="7" t="s">
        <v>12</v>
      </c>
      <c r="H30" s="7" t="s">
        <v>12</v>
      </c>
      <c r="I30" s="11" t="s">
        <v>73</v>
      </c>
      <c r="J30" s="5" t="str">
        <f aca="false">IF(COUNTIF(G30,"☐")+COUNTIF(H30,"☐")=0,"Done","Pending")</f>
        <v>Pending</v>
      </c>
      <c r="K30" s="12"/>
    </row>
    <row r="31" customFormat="false" ht="15" hidden="false" customHeight="false" outlineLevel="0" collapsed="false">
      <c r="A31" s="6" t="s">
        <v>46</v>
      </c>
      <c r="B31" s="5" t="s">
        <v>76</v>
      </c>
      <c r="C31" s="5" t="s">
        <v>77</v>
      </c>
      <c r="D31" s="5" t="s">
        <v>123</v>
      </c>
      <c r="E31" s="5" t="s">
        <v>124</v>
      </c>
      <c r="F31" s="6" t="s">
        <v>125</v>
      </c>
      <c r="G31" s="7" t="s">
        <v>12</v>
      </c>
      <c r="H31" s="7" t="s">
        <v>12</v>
      </c>
      <c r="I31" s="7" t="s">
        <v>12</v>
      </c>
      <c r="J31" s="5" t="str">
        <f aca="false">IF(COUNTIF(G31,"☐")+COUNTIF(H31,"☐")+COUNTIF(I31,"☐")=0,"Done","Pending")</f>
        <v>Pending</v>
      </c>
      <c r="K31" s="12"/>
    </row>
    <row r="32" customFormat="false" ht="15" hidden="false" customHeight="false" outlineLevel="0" collapsed="false">
      <c r="A32" s="6" t="s">
        <v>46</v>
      </c>
      <c r="B32" s="5" t="s">
        <v>81</v>
      </c>
      <c r="C32" s="5" t="s">
        <v>73</v>
      </c>
      <c r="D32" s="5" t="s">
        <v>73</v>
      </c>
      <c r="E32" s="5" t="s">
        <v>45</v>
      </c>
      <c r="F32" s="6" t="s">
        <v>126</v>
      </c>
      <c r="G32" s="7" t="s">
        <v>12</v>
      </c>
      <c r="H32" s="7" t="s">
        <v>12</v>
      </c>
      <c r="I32" s="11" t="s">
        <v>73</v>
      </c>
      <c r="J32" s="5" t="str">
        <f aca="false">IF(COUNTIF(G32,"☐")+COUNTIF(H32,"☐")=0,"Done","Pending")</f>
        <v>Pending</v>
      </c>
      <c r="K32" s="12"/>
    </row>
    <row r="33" customFormat="false" ht="15" hidden="false" customHeight="false" outlineLevel="0" collapsed="false">
      <c r="A33" s="6" t="s">
        <v>46</v>
      </c>
      <c r="B33" s="5" t="s">
        <v>83</v>
      </c>
      <c r="C33" s="5" t="s">
        <v>73</v>
      </c>
      <c r="D33" s="5" t="s">
        <v>73</v>
      </c>
      <c r="E33" s="5" t="s">
        <v>127</v>
      </c>
      <c r="F33" s="6" t="s">
        <v>128</v>
      </c>
      <c r="G33" s="7" t="s">
        <v>12</v>
      </c>
      <c r="H33" s="7" t="s">
        <v>12</v>
      </c>
      <c r="I33" s="11" t="s">
        <v>73</v>
      </c>
      <c r="J33" s="5" t="str">
        <f aca="false">IF(COUNTIF(G33,"☐")+COUNTIF(H33,"☐")=0,"Done","Pending")</f>
        <v>Pending</v>
      </c>
      <c r="K33" s="12"/>
    </row>
    <row r="34" customFormat="false" ht="15" hidden="false" customHeight="false" outlineLevel="0" collapsed="false">
      <c r="A34" s="13" t="s">
        <v>48</v>
      </c>
      <c r="B34" s="14" t="s">
        <v>72</v>
      </c>
      <c r="C34" s="14" t="s">
        <v>73</v>
      </c>
      <c r="D34" s="14" t="s">
        <v>73</v>
      </c>
      <c r="E34" s="14" t="s">
        <v>129</v>
      </c>
      <c r="F34" s="13" t="s">
        <v>130</v>
      </c>
      <c r="G34" s="7" t="s">
        <v>12</v>
      </c>
      <c r="H34" s="7" t="s">
        <v>12</v>
      </c>
      <c r="I34" s="15" t="s">
        <v>73</v>
      </c>
      <c r="J34" s="14" t="str">
        <f aca="false">IF(COUNTIF(G34,"☐")+COUNTIF(H34,"☐")=0,"Done","Pending")</f>
        <v>Pending</v>
      </c>
      <c r="K34" s="16" t="s">
        <v>131</v>
      </c>
    </row>
    <row r="35" customFormat="false" ht="15" hidden="false" customHeight="false" outlineLevel="0" collapsed="false">
      <c r="A35" s="13" t="s">
        <v>48</v>
      </c>
      <c r="B35" s="14" t="s">
        <v>76</v>
      </c>
      <c r="C35" s="14" t="s">
        <v>77</v>
      </c>
      <c r="D35" s="14" t="s">
        <v>132</v>
      </c>
      <c r="E35" s="14" t="s">
        <v>133</v>
      </c>
      <c r="F35" s="13" t="s">
        <v>134</v>
      </c>
      <c r="G35" s="7" t="s">
        <v>12</v>
      </c>
      <c r="H35" s="7" t="s">
        <v>12</v>
      </c>
      <c r="I35" s="7" t="s">
        <v>12</v>
      </c>
      <c r="J35" s="14" t="str">
        <f aca="false">IF(COUNTIF(G35,"☐")+COUNTIF(H35,"☐")+COUNTIF(I35,"☐")=0,"Done","Pending")</f>
        <v>Pending</v>
      </c>
      <c r="K35" s="16"/>
    </row>
    <row r="36" customFormat="false" ht="15" hidden="false" customHeight="false" outlineLevel="0" collapsed="false">
      <c r="A36" s="13" t="s">
        <v>48</v>
      </c>
      <c r="B36" s="14" t="s">
        <v>81</v>
      </c>
      <c r="C36" s="14" t="s">
        <v>73</v>
      </c>
      <c r="D36" s="14" t="s">
        <v>73</v>
      </c>
      <c r="E36" s="14" t="s">
        <v>47</v>
      </c>
      <c r="F36" s="13" t="s">
        <v>135</v>
      </c>
      <c r="G36" s="7" t="s">
        <v>12</v>
      </c>
      <c r="H36" s="7" t="s">
        <v>12</v>
      </c>
      <c r="I36" s="15" t="s">
        <v>73</v>
      </c>
      <c r="J36" s="14" t="str">
        <f aca="false">IF(COUNTIF(G36,"☐")+COUNTIF(H36,"☐")=0,"Done","Pending")</f>
        <v>Pending</v>
      </c>
      <c r="K36" s="16"/>
    </row>
    <row r="37" customFormat="false" ht="15" hidden="false" customHeight="false" outlineLevel="0" collapsed="false">
      <c r="A37" s="13" t="s">
        <v>48</v>
      </c>
      <c r="B37" s="14" t="s">
        <v>83</v>
      </c>
      <c r="C37" s="14" t="s">
        <v>73</v>
      </c>
      <c r="D37" s="14" t="s">
        <v>73</v>
      </c>
      <c r="E37" s="14" t="s">
        <v>73</v>
      </c>
      <c r="F37" s="13" t="s">
        <v>73</v>
      </c>
      <c r="G37" s="15" t="s">
        <v>73</v>
      </c>
      <c r="H37" s="15" t="s">
        <v>73</v>
      </c>
      <c r="I37" s="15" t="s">
        <v>73</v>
      </c>
      <c r="J37" s="14" t="s">
        <v>136</v>
      </c>
      <c r="K37" s="16" t="s">
        <v>137</v>
      </c>
    </row>
    <row r="38" customFormat="false" ht="15" hidden="false" customHeight="false" outlineLevel="0" collapsed="false">
      <c r="A38" s="6" t="s">
        <v>50</v>
      </c>
      <c r="B38" s="5" t="s">
        <v>72</v>
      </c>
      <c r="C38" s="5" t="s">
        <v>73</v>
      </c>
      <c r="D38" s="5" t="s">
        <v>73</v>
      </c>
      <c r="E38" s="5" t="s">
        <v>138</v>
      </c>
      <c r="F38" s="6" t="s">
        <v>130</v>
      </c>
      <c r="G38" s="7" t="s">
        <v>12</v>
      </c>
      <c r="H38" s="7" t="s">
        <v>12</v>
      </c>
      <c r="I38" s="11" t="s">
        <v>73</v>
      </c>
      <c r="J38" s="5" t="str">
        <f aca="false">IF(COUNTIF(G38,"☐")+COUNTIF(H38,"☐")=0,"Done","Pending")</f>
        <v>Pending</v>
      </c>
      <c r="K38" s="12" t="s">
        <v>139</v>
      </c>
    </row>
    <row r="39" customFormat="false" ht="15" hidden="false" customHeight="false" outlineLevel="0" collapsed="false">
      <c r="A39" s="6" t="s">
        <v>50</v>
      </c>
      <c r="B39" s="5" t="s">
        <v>76</v>
      </c>
      <c r="C39" s="5" t="s">
        <v>77</v>
      </c>
      <c r="D39" s="5" t="s">
        <v>140</v>
      </c>
      <c r="E39" s="5" t="s">
        <v>141</v>
      </c>
      <c r="F39" s="6" t="s">
        <v>142</v>
      </c>
      <c r="G39" s="7" t="s">
        <v>12</v>
      </c>
      <c r="H39" s="7" t="s">
        <v>12</v>
      </c>
      <c r="I39" s="7" t="s">
        <v>12</v>
      </c>
      <c r="J39" s="5" t="str">
        <f aca="false">IF(COUNTIF(G39,"☐")+COUNTIF(H39,"☐")+COUNTIF(I39,"☐")=0,"Done","Pending")</f>
        <v>Pending</v>
      </c>
      <c r="K39" s="12"/>
    </row>
    <row r="40" customFormat="false" ht="15" hidden="false" customHeight="false" outlineLevel="0" collapsed="false">
      <c r="A40" s="6" t="s">
        <v>50</v>
      </c>
      <c r="B40" s="5" t="s">
        <v>81</v>
      </c>
      <c r="C40" s="5" t="s">
        <v>73</v>
      </c>
      <c r="D40" s="5" t="s">
        <v>73</v>
      </c>
      <c r="E40" s="5" t="s">
        <v>49</v>
      </c>
      <c r="F40" s="6" t="s">
        <v>143</v>
      </c>
      <c r="G40" s="7" t="s">
        <v>12</v>
      </c>
      <c r="H40" s="7" t="s">
        <v>12</v>
      </c>
      <c r="I40" s="11" t="s">
        <v>73</v>
      </c>
      <c r="J40" s="5" t="str">
        <f aca="false">IF(COUNTIF(G40,"☐")+COUNTIF(H40,"☐")=0,"Done","Pending")</f>
        <v>Pending</v>
      </c>
      <c r="K40" s="12"/>
    </row>
    <row r="41" customFormat="false" ht="15" hidden="false" customHeight="false" outlineLevel="0" collapsed="false">
      <c r="A41" s="6" t="s">
        <v>50</v>
      </c>
      <c r="B41" s="5" t="s">
        <v>83</v>
      </c>
      <c r="C41" s="5" t="s">
        <v>73</v>
      </c>
      <c r="D41" s="5" t="s">
        <v>73</v>
      </c>
      <c r="E41" s="5" t="s">
        <v>73</v>
      </c>
      <c r="F41" s="6" t="s">
        <v>73</v>
      </c>
      <c r="G41" s="11" t="s">
        <v>73</v>
      </c>
      <c r="H41" s="11" t="s">
        <v>73</v>
      </c>
      <c r="I41" s="11" t="s">
        <v>73</v>
      </c>
      <c r="J41" s="5" t="s">
        <v>136</v>
      </c>
      <c r="K41" s="12" t="s">
        <v>137</v>
      </c>
    </row>
    <row r="43" customFormat="false" ht="15" hidden="false" customHeight="false" outlineLevel="0" collapsed="false">
      <c r="A43" s="8" t="s">
        <v>144</v>
      </c>
      <c r="B43" s="9" t="n">
        <f aca="false">COUNTA(A6:A41)-COUNTIF(J6:J41,"N/A")</f>
        <v>34</v>
      </c>
    </row>
    <row r="44" customFormat="false" ht="15" hidden="false" customHeight="false" outlineLevel="0" collapsed="false">
      <c r="A44" s="8" t="s">
        <v>145</v>
      </c>
      <c r="B44" s="9" t="n">
        <f aca="false">COUNTA(E6:E41)-COUNTIF(E6:E41,"—")</f>
        <v>34</v>
      </c>
    </row>
    <row r="45" customFormat="false" ht="15" hidden="false" customHeight="false" outlineLevel="0" collapsed="false">
      <c r="A45" s="8" t="s">
        <v>146</v>
      </c>
      <c r="B45" s="9" t="n">
        <f aca="false">2*B44</f>
        <v>68</v>
      </c>
    </row>
    <row r="46" customFormat="false" ht="15" hidden="false" customHeight="false" outlineLevel="0" collapsed="false">
      <c r="A46" s="8" t="s">
        <v>147</v>
      </c>
      <c r="B46" s="9" t="n">
        <f aca="false">COUNTIF(G6:G41,"☑")+COUNTIF(H6:H41,"☑")</f>
        <v>0</v>
      </c>
    </row>
    <row r="47" customFormat="false" ht="15" hidden="false" customHeight="false" outlineLevel="0" collapsed="false">
      <c r="A47" s="8" t="s">
        <v>148</v>
      </c>
      <c r="B47" s="9" t="n">
        <f aca="false">COUNTIF(I6:I41,"☐")+COUNTIF(I6:I41,"☑")</f>
        <v>9</v>
      </c>
    </row>
    <row r="48" customFormat="false" ht="15" hidden="false" customHeight="false" outlineLevel="0" collapsed="false">
      <c r="A48" s="8" t="s">
        <v>149</v>
      </c>
      <c r="B48" s="9" t="n">
        <f aca="false">COUNTIF(I6:I41,"☑")</f>
        <v>0</v>
      </c>
    </row>
    <row r="49" customFormat="false" ht="15" hidden="false" customHeight="false" outlineLevel="0" collapsed="false">
      <c r="A49" s="8" t="s">
        <v>60</v>
      </c>
      <c r="B49" s="9" t="n">
        <f aca="false">COUNTIF(J6:J41,"Done")</f>
        <v>0</v>
      </c>
    </row>
    <row r="50" customFormat="false" ht="15" hidden="false" customHeight="false" outlineLevel="0" collapsed="false">
      <c r="A50" s="8" t="s">
        <v>150</v>
      </c>
      <c r="B50" s="9" t="n">
        <f aca="false">COUNTIF(J6:J41,"Fault")</f>
        <v>0</v>
      </c>
    </row>
    <row r="51" customFormat="false" ht="15" hidden="false" customHeight="false" outlineLevel="0" collapsed="false">
      <c r="A51" s="8" t="s">
        <v>61</v>
      </c>
      <c r="B51" s="10" t="n">
        <f aca="false">IF(B43=0,0,B49/B43)</f>
        <v>0</v>
      </c>
    </row>
  </sheetData>
  <conditionalFormatting sqref="A6:K41">
    <cfRule type="expression" priority="2" aboveAverage="0" equalAverage="0" bottom="0" percent="0" rank="0" text="" dxfId="0">
      <formula>$J6="Done"</formula>
    </cfRule>
  </conditionalFormatting>
  <conditionalFormatting sqref="G6:I41">
    <cfRule type="cellIs" priority="3" operator="equal" aboveAverage="0" equalAverage="0" bottom="0" percent="0" rank="0" text="" dxfId="0">
      <formula>"☑"</formula>
    </cfRule>
  </conditionalFormatting>
  <conditionalFormatting sqref="J6:J41">
    <cfRule type="cellIs" priority="4" operator="equal" aboveAverage="0" equalAverage="0" bottom="0" percent="0" rank="0" text="" dxfId="1">
      <formula>"Fault"</formula>
    </cfRule>
    <cfRule type="cellIs" priority="5" operator="equal" aboveAverage="0" equalAverage="0" bottom="0" percent="0" rank="0" text="" dxfId="2">
      <formula>"In progress"</formula>
    </cfRule>
  </conditionalFormatting>
  <dataValidations count="1">
    <dataValidation allowBlank="false" errorStyle="stop" operator="between" showDropDown="false" showErrorMessage="false" showInputMessage="false" sqref="G6:H36 I7 I11 I15 I19 I23 I27 I31 I35 G38:H40 I39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152</v>
      </c>
    </row>
    <row r="5" customFormat="false" ht="23.85" hidden="false" customHeight="false" outlineLevel="0" collapsed="false">
      <c r="A5" s="4" t="s">
        <v>5</v>
      </c>
      <c r="B5" s="4" t="s">
        <v>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8</v>
      </c>
      <c r="K5" s="4" t="s">
        <v>71</v>
      </c>
    </row>
    <row r="6" customFormat="false" ht="15" hidden="false" customHeight="false" outlineLevel="0" collapsed="false">
      <c r="A6" s="6" t="s">
        <v>14</v>
      </c>
      <c r="B6" s="5" t="s">
        <v>81</v>
      </c>
      <c r="C6" s="5" t="s">
        <v>153</v>
      </c>
      <c r="D6" s="5" t="s">
        <v>154</v>
      </c>
      <c r="E6" s="5" t="s">
        <v>13</v>
      </c>
      <c r="F6" s="6" t="s">
        <v>155</v>
      </c>
      <c r="G6" s="7" t="s">
        <v>12</v>
      </c>
      <c r="H6" s="7" t="s">
        <v>12</v>
      </c>
      <c r="I6" s="7" t="s">
        <v>12</v>
      </c>
      <c r="J6" s="5" t="str">
        <f aca="false">IF(COUNTIF(G6,"☐")+COUNTIF(H6,"☐")+COUNTIF(I6,"☐")=0,"Done","Pending")</f>
        <v>Pending</v>
      </c>
      <c r="K6" s="12"/>
    </row>
    <row r="7" customFormat="false" ht="15" hidden="false" customHeight="false" outlineLevel="0" collapsed="false">
      <c r="A7" s="6" t="s">
        <v>14</v>
      </c>
      <c r="B7" s="5" t="s">
        <v>72</v>
      </c>
      <c r="C7" s="5" t="s">
        <v>153</v>
      </c>
      <c r="D7" s="5" t="s">
        <v>154</v>
      </c>
      <c r="E7" s="5" t="s">
        <v>73</v>
      </c>
      <c r="F7" s="6" t="s">
        <v>156</v>
      </c>
      <c r="G7" s="11" t="s">
        <v>73</v>
      </c>
      <c r="H7" s="11" t="s">
        <v>73</v>
      </c>
      <c r="I7" s="11" t="s">
        <v>73</v>
      </c>
      <c r="J7" s="5" t="str">
        <f aca="false">J6</f>
        <v>Pending</v>
      </c>
      <c r="K7" s="12"/>
    </row>
    <row r="8" customFormat="false" ht="15" hidden="false" customHeight="false" outlineLevel="0" collapsed="false">
      <c r="A8" s="6" t="s">
        <v>14</v>
      </c>
      <c r="B8" s="5" t="s">
        <v>157</v>
      </c>
      <c r="C8" s="5" t="s">
        <v>158</v>
      </c>
      <c r="D8" s="5" t="s">
        <v>159</v>
      </c>
      <c r="E8" s="5" t="s">
        <v>73</v>
      </c>
      <c r="F8" s="6" t="s">
        <v>160</v>
      </c>
      <c r="G8" s="11" t="s">
        <v>73</v>
      </c>
      <c r="H8" s="11" t="s">
        <v>73</v>
      </c>
      <c r="I8" s="7" t="s">
        <v>12</v>
      </c>
      <c r="J8" s="5" t="str">
        <f aca="false">IF(COUNTIF(I8,"☐")=0,"Done","Pending")</f>
        <v>Pending</v>
      </c>
      <c r="K8" s="12"/>
    </row>
    <row r="9" customFormat="false" ht="15" hidden="false" customHeight="false" outlineLevel="0" collapsed="false">
      <c r="A9" s="6" t="s">
        <v>14</v>
      </c>
      <c r="B9" s="5" t="s">
        <v>83</v>
      </c>
      <c r="C9" s="5" t="s">
        <v>73</v>
      </c>
      <c r="D9" s="5" t="s">
        <v>73</v>
      </c>
      <c r="E9" s="5" t="s">
        <v>73</v>
      </c>
      <c r="F9" s="6" t="s">
        <v>161</v>
      </c>
      <c r="G9" s="11" t="s">
        <v>73</v>
      </c>
      <c r="H9" s="11" t="s">
        <v>73</v>
      </c>
      <c r="I9" s="11" t="s">
        <v>73</v>
      </c>
      <c r="J9" s="17" t="s">
        <v>162</v>
      </c>
      <c r="K9" s="12"/>
    </row>
    <row r="10" customFormat="false" ht="15" hidden="false" customHeight="false" outlineLevel="0" collapsed="false">
      <c r="A10" s="13" t="s">
        <v>16</v>
      </c>
      <c r="B10" s="14" t="s">
        <v>81</v>
      </c>
      <c r="C10" s="14" t="s">
        <v>153</v>
      </c>
      <c r="D10" s="14" t="s">
        <v>163</v>
      </c>
      <c r="E10" s="14" t="s">
        <v>15</v>
      </c>
      <c r="F10" s="13" t="s">
        <v>164</v>
      </c>
      <c r="G10" s="7" t="s">
        <v>12</v>
      </c>
      <c r="H10" s="7" t="s">
        <v>12</v>
      </c>
      <c r="I10" s="7" t="s">
        <v>12</v>
      </c>
      <c r="J10" s="14" t="str">
        <f aca="false">IF(COUNTIF(G10,"☐")+COUNTIF(H10,"☐")+COUNTIF(I10,"☐")=0,"Done","Pending")</f>
        <v>Pending</v>
      </c>
      <c r="K10" s="16"/>
    </row>
    <row r="11" customFormat="false" ht="15" hidden="false" customHeight="false" outlineLevel="0" collapsed="false">
      <c r="A11" s="13" t="s">
        <v>16</v>
      </c>
      <c r="B11" s="14" t="s">
        <v>72</v>
      </c>
      <c r="C11" s="14" t="s">
        <v>153</v>
      </c>
      <c r="D11" s="14" t="s">
        <v>163</v>
      </c>
      <c r="E11" s="14" t="s">
        <v>73</v>
      </c>
      <c r="F11" s="13" t="s">
        <v>165</v>
      </c>
      <c r="G11" s="15" t="s">
        <v>73</v>
      </c>
      <c r="H11" s="15" t="s">
        <v>73</v>
      </c>
      <c r="I11" s="15" t="s">
        <v>73</v>
      </c>
      <c r="J11" s="14" t="str">
        <f aca="false">J10</f>
        <v>Pending</v>
      </c>
      <c r="K11" s="16"/>
    </row>
    <row r="12" customFormat="false" ht="15" hidden="false" customHeight="false" outlineLevel="0" collapsed="false">
      <c r="A12" s="13" t="s">
        <v>16</v>
      </c>
      <c r="B12" s="14" t="s">
        <v>166</v>
      </c>
      <c r="C12" s="14" t="s">
        <v>73</v>
      </c>
      <c r="D12" s="14" t="s">
        <v>73</v>
      </c>
      <c r="E12" s="14" t="s">
        <v>73</v>
      </c>
      <c r="F12" s="13" t="s">
        <v>167</v>
      </c>
      <c r="G12" s="15" t="s">
        <v>73</v>
      </c>
      <c r="H12" s="15" t="s">
        <v>73</v>
      </c>
      <c r="I12" s="15" t="s">
        <v>73</v>
      </c>
      <c r="J12" s="17" t="s">
        <v>162</v>
      </c>
      <c r="K12" s="16"/>
    </row>
    <row r="13" customFormat="false" ht="15" hidden="false" customHeight="false" outlineLevel="0" collapsed="false">
      <c r="A13" s="13" t="s">
        <v>16</v>
      </c>
      <c r="B13" s="14" t="s">
        <v>83</v>
      </c>
      <c r="C13" s="14" t="s">
        <v>73</v>
      </c>
      <c r="D13" s="14" t="s">
        <v>73</v>
      </c>
      <c r="E13" s="14" t="s">
        <v>73</v>
      </c>
      <c r="F13" s="13" t="s">
        <v>168</v>
      </c>
      <c r="G13" s="15" t="s">
        <v>73</v>
      </c>
      <c r="H13" s="15" t="s">
        <v>73</v>
      </c>
      <c r="I13" s="15" t="s">
        <v>73</v>
      </c>
      <c r="J13" s="17" t="s">
        <v>162</v>
      </c>
      <c r="K13" s="16"/>
    </row>
    <row r="14" customFormat="false" ht="15" hidden="false" customHeight="false" outlineLevel="0" collapsed="false">
      <c r="A14" s="6" t="s">
        <v>18</v>
      </c>
      <c r="B14" s="5" t="s">
        <v>81</v>
      </c>
      <c r="C14" s="5" t="s">
        <v>153</v>
      </c>
      <c r="D14" s="5" t="s">
        <v>169</v>
      </c>
      <c r="E14" s="5" t="s">
        <v>17</v>
      </c>
      <c r="F14" s="6" t="s">
        <v>170</v>
      </c>
      <c r="G14" s="7" t="s">
        <v>12</v>
      </c>
      <c r="H14" s="7" t="s">
        <v>12</v>
      </c>
      <c r="I14" s="7" t="s">
        <v>12</v>
      </c>
      <c r="J14" s="5" t="str">
        <f aca="false">IF(COUNTIF(G14,"☐")+COUNTIF(H14,"☐")+COUNTIF(I14,"☐")=0,"Done","Pending")</f>
        <v>Pending</v>
      </c>
      <c r="K14" s="12"/>
    </row>
    <row r="15" customFormat="false" ht="15" hidden="false" customHeight="false" outlineLevel="0" collapsed="false">
      <c r="A15" s="6" t="s">
        <v>18</v>
      </c>
      <c r="B15" s="5" t="s">
        <v>72</v>
      </c>
      <c r="C15" s="5" t="s">
        <v>153</v>
      </c>
      <c r="D15" s="5" t="s">
        <v>169</v>
      </c>
      <c r="E15" s="5" t="s">
        <v>73</v>
      </c>
      <c r="F15" s="6" t="s">
        <v>171</v>
      </c>
      <c r="G15" s="11" t="s">
        <v>73</v>
      </c>
      <c r="H15" s="11" t="s">
        <v>73</v>
      </c>
      <c r="I15" s="11" t="s">
        <v>73</v>
      </c>
      <c r="J15" s="5" t="str">
        <f aca="false">J14</f>
        <v>Pending</v>
      </c>
      <c r="K15" s="12"/>
    </row>
    <row r="16" customFormat="false" ht="15" hidden="false" customHeight="false" outlineLevel="0" collapsed="false">
      <c r="A16" s="6" t="s">
        <v>18</v>
      </c>
      <c r="B16" s="5" t="s">
        <v>157</v>
      </c>
      <c r="C16" s="5" t="s">
        <v>158</v>
      </c>
      <c r="D16" s="5" t="s">
        <v>172</v>
      </c>
      <c r="E16" s="5" t="s">
        <v>73</v>
      </c>
      <c r="F16" s="6" t="s">
        <v>173</v>
      </c>
      <c r="G16" s="11" t="s">
        <v>73</v>
      </c>
      <c r="H16" s="11" t="s">
        <v>73</v>
      </c>
      <c r="I16" s="7" t="s">
        <v>12</v>
      </c>
      <c r="J16" s="5" t="str">
        <f aca="false">IF(COUNTIF(I16,"☐")=0,"Done","Pending")</f>
        <v>Pending</v>
      </c>
      <c r="K16" s="12"/>
    </row>
    <row r="17" customFormat="false" ht="15" hidden="false" customHeight="false" outlineLevel="0" collapsed="false">
      <c r="A17" s="6" t="s">
        <v>18</v>
      </c>
      <c r="B17" s="5" t="s">
        <v>83</v>
      </c>
      <c r="C17" s="5" t="s">
        <v>73</v>
      </c>
      <c r="D17" s="5" t="s">
        <v>73</v>
      </c>
      <c r="E17" s="5" t="s">
        <v>73</v>
      </c>
      <c r="F17" s="6" t="s">
        <v>174</v>
      </c>
      <c r="G17" s="11" t="s">
        <v>73</v>
      </c>
      <c r="H17" s="11" t="s">
        <v>73</v>
      </c>
      <c r="I17" s="11" t="s">
        <v>73</v>
      </c>
      <c r="J17" s="17" t="s">
        <v>162</v>
      </c>
      <c r="K17" s="12"/>
    </row>
    <row r="18" customFormat="false" ht="15" hidden="false" customHeight="false" outlineLevel="0" collapsed="false">
      <c r="A18" s="13" t="s">
        <v>20</v>
      </c>
      <c r="B18" s="14" t="s">
        <v>81</v>
      </c>
      <c r="C18" s="14" t="s">
        <v>153</v>
      </c>
      <c r="D18" s="14" t="s">
        <v>175</v>
      </c>
      <c r="E18" s="14" t="s">
        <v>19</v>
      </c>
      <c r="F18" s="13" t="s">
        <v>176</v>
      </c>
      <c r="G18" s="7" t="s">
        <v>12</v>
      </c>
      <c r="H18" s="7" t="s">
        <v>12</v>
      </c>
      <c r="I18" s="7" t="s">
        <v>12</v>
      </c>
      <c r="J18" s="14" t="str">
        <f aca="false">IF(COUNTIF(G18,"☐")+COUNTIF(H18,"☐")+COUNTIF(I18,"☐")=0,"Done","Pending")</f>
        <v>Pending</v>
      </c>
      <c r="K18" s="16"/>
    </row>
    <row r="19" customFormat="false" ht="15" hidden="false" customHeight="false" outlineLevel="0" collapsed="false">
      <c r="A19" s="13" t="s">
        <v>20</v>
      </c>
      <c r="B19" s="14" t="s">
        <v>72</v>
      </c>
      <c r="C19" s="14" t="s">
        <v>153</v>
      </c>
      <c r="D19" s="14" t="s">
        <v>175</v>
      </c>
      <c r="E19" s="14" t="s">
        <v>73</v>
      </c>
      <c r="F19" s="13" t="s">
        <v>177</v>
      </c>
      <c r="G19" s="15" t="s">
        <v>73</v>
      </c>
      <c r="H19" s="15" t="s">
        <v>73</v>
      </c>
      <c r="I19" s="15" t="s">
        <v>73</v>
      </c>
      <c r="J19" s="14" t="str">
        <f aca="false">J18</f>
        <v>Pending</v>
      </c>
      <c r="K19" s="16"/>
    </row>
    <row r="20" customFormat="false" ht="15" hidden="false" customHeight="false" outlineLevel="0" collapsed="false">
      <c r="A20" s="13" t="s">
        <v>20</v>
      </c>
      <c r="B20" s="14" t="s">
        <v>157</v>
      </c>
      <c r="C20" s="14" t="s">
        <v>158</v>
      </c>
      <c r="D20" s="14" t="s">
        <v>178</v>
      </c>
      <c r="E20" s="14" t="s">
        <v>73</v>
      </c>
      <c r="F20" s="13" t="s">
        <v>179</v>
      </c>
      <c r="G20" s="15" t="s">
        <v>73</v>
      </c>
      <c r="H20" s="15" t="s">
        <v>73</v>
      </c>
      <c r="I20" s="7" t="s">
        <v>12</v>
      </c>
      <c r="J20" s="14" t="str">
        <f aca="false">IF(COUNTIF(I20,"☐")=0,"Done","Pending")</f>
        <v>Pending</v>
      </c>
      <c r="K20" s="16"/>
    </row>
    <row r="21" customFormat="false" ht="15" hidden="false" customHeight="false" outlineLevel="0" collapsed="false">
      <c r="A21" s="13" t="s">
        <v>20</v>
      </c>
      <c r="B21" s="14" t="s">
        <v>83</v>
      </c>
      <c r="C21" s="14" t="s">
        <v>73</v>
      </c>
      <c r="D21" s="14" t="s">
        <v>73</v>
      </c>
      <c r="E21" s="14" t="s">
        <v>73</v>
      </c>
      <c r="F21" s="13" t="s">
        <v>180</v>
      </c>
      <c r="G21" s="15" t="s">
        <v>73</v>
      </c>
      <c r="H21" s="15" t="s">
        <v>73</v>
      </c>
      <c r="I21" s="15" t="s">
        <v>73</v>
      </c>
      <c r="J21" s="17" t="s">
        <v>162</v>
      </c>
      <c r="K21" s="16"/>
    </row>
    <row r="22" customFormat="false" ht="15" hidden="false" customHeight="false" outlineLevel="0" collapsed="false">
      <c r="A22" s="6" t="s">
        <v>22</v>
      </c>
      <c r="B22" s="5" t="s">
        <v>81</v>
      </c>
      <c r="C22" s="5" t="s">
        <v>153</v>
      </c>
      <c r="D22" s="5" t="s">
        <v>181</v>
      </c>
      <c r="E22" s="5" t="s">
        <v>21</v>
      </c>
      <c r="F22" s="6" t="s">
        <v>182</v>
      </c>
      <c r="G22" s="7" t="s">
        <v>12</v>
      </c>
      <c r="H22" s="7" t="s">
        <v>12</v>
      </c>
      <c r="I22" s="7" t="s">
        <v>12</v>
      </c>
      <c r="J22" s="5" t="str">
        <f aca="false">IF(COUNTIF(G22,"☐")+COUNTIF(H22,"☐")+COUNTIF(I22,"☐")=0,"Done","Pending")</f>
        <v>Pending</v>
      </c>
      <c r="K22" s="12"/>
    </row>
    <row r="23" customFormat="false" ht="15" hidden="false" customHeight="false" outlineLevel="0" collapsed="false">
      <c r="A23" s="6" t="s">
        <v>22</v>
      </c>
      <c r="B23" s="5" t="s">
        <v>72</v>
      </c>
      <c r="C23" s="5" t="s">
        <v>153</v>
      </c>
      <c r="D23" s="5" t="s">
        <v>181</v>
      </c>
      <c r="E23" s="5" t="s">
        <v>73</v>
      </c>
      <c r="F23" s="6" t="s">
        <v>183</v>
      </c>
      <c r="G23" s="11" t="s">
        <v>73</v>
      </c>
      <c r="H23" s="11" t="s">
        <v>73</v>
      </c>
      <c r="I23" s="11" t="s">
        <v>73</v>
      </c>
      <c r="J23" s="5" t="str">
        <f aca="false">J22</f>
        <v>Pending</v>
      </c>
      <c r="K23" s="12"/>
    </row>
    <row r="24" customFormat="false" ht="15" hidden="false" customHeight="false" outlineLevel="0" collapsed="false">
      <c r="A24" s="6" t="s">
        <v>22</v>
      </c>
      <c r="B24" s="5" t="s">
        <v>157</v>
      </c>
      <c r="C24" s="5" t="s">
        <v>158</v>
      </c>
      <c r="D24" s="5" t="s">
        <v>184</v>
      </c>
      <c r="E24" s="5" t="s">
        <v>73</v>
      </c>
      <c r="F24" s="6" t="s">
        <v>185</v>
      </c>
      <c r="G24" s="11" t="s">
        <v>73</v>
      </c>
      <c r="H24" s="11" t="s">
        <v>73</v>
      </c>
      <c r="I24" s="7" t="s">
        <v>12</v>
      </c>
      <c r="J24" s="5" t="str">
        <f aca="false">IF(COUNTIF(I24,"☐")=0,"Done","Pending")</f>
        <v>Pending</v>
      </c>
      <c r="K24" s="12"/>
    </row>
    <row r="25" customFormat="false" ht="15" hidden="false" customHeight="false" outlineLevel="0" collapsed="false">
      <c r="A25" s="6" t="s">
        <v>22</v>
      </c>
      <c r="B25" s="5" t="s">
        <v>83</v>
      </c>
      <c r="C25" s="5" t="s">
        <v>73</v>
      </c>
      <c r="D25" s="5" t="s">
        <v>73</v>
      </c>
      <c r="E25" s="5" t="s">
        <v>73</v>
      </c>
      <c r="F25" s="6" t="s">
        <v>186</v>
      </c>
      <c r="G25" s="11" t="s">
        <v>73</v>
      </c>
      <c r="H25" s="11" t="s">
        <v>73</v>
      </c>
      <c r="I25" s="11" t="s">
        <v>73</v>
      </c>
      <c r="J25" s="17" t="s">
        <v>162</v>
      </c>
      <c r="K25" s="12"/>
    </row>
    <row r="26" customFormat="false" ht="15" hidden="false" customHeight="false" outlineLevel="0" collapsed="false">
      <c r="A26" s="13" t="s">
        <v>24</v>
      </c>
      <c r="B26" s="14" t="s">
        <v>81</v>
      </c>
      <c r="C26" s="14" t="s">
        <v>153</v>
      </c>
      <c r="D26" s="14" t="s">
        <v>187</v>
      </c>
      <c r="E26" s="14" t="s">
        <v>23</v>
      </c>
      <c r="F26" s="13" t="s">
        <v>188</v>
      </c>
      <c r="G26" s="7" t="s">
        <v>12</v>
      </c>
      <c r="H26" s="7" t="s">
        <v>12</v>
      </c>
      <c r="I26" s="7" t="s">
        <v>12</v>
      </c>
      <c r="J26" s="14" t="str">
        <f aca="false">IF(COUNTIF(G26,"☐")+COUNTIF(H26,"☐")+COUNTIF(I26,"☐")=0,"Done","Pending")</f>
        <v>Pending</v>
      </c>
      <c r="K26" s="16"/>
    </row>
    <row r="27" customFormat="false" ht="15" hidden="false" customHeight="false" outlineLevel="0" collapsed="false">
      <c r="A27" s="13" t="s">
        <v>24</v>
      </c>
      <c r="B27" s="14" t="s">
        <v>72</v>
      </c>
      <c r="C27" s="14" t="s">
        <v>153</v>
      </c>
      <c r="D27" s="14" t="s">
        <v>187</v>
      </c>
      <c r="E27" s="14" t="s">
        <v>73</v>
      </c>
      <c r="F27" s="13" t="s">
        <v>189</v>
      </c>
      <c r="G27" s="15" t="s">
        <v>73</v>
      </c>
      <c r="H27" s="15" t="s">
        <v>73</v>
      </c>
      <c r="I27" s="15" t="s">
        <v>73</v>
      </c>
      <c r="J27" s="14" t="str">
        <f aca="false">J26</f>
        <v>Pending</v>
      </c>
      <c r="K27" s="16"/>
    </row>
    <row r="28" customFormat="false" ht="15" hidden="false" customHeight="false" outlineLevel="0" collapsed="false">
      <c r="A28" s="13" t="s">
        <v>24</v>
      </c>
      <c r="B28" s="14" t="s">
        <v>157</v>
      </c>
      <c r="C28" s="14" t="s">
        <v>73</v>
      </c>
      <c r="D28" s="14" t="s">
        <v>73</v>
      </c>
      <c r="E28" s="14" t="s">
        <v>73</v>
      </c>
      <c r="F28" s="13" t="s">
        <v>190</v>
      </c>
      <c r="G28" s="15" t="s">
        <v>73</v>
      </c>
      <c r="H28" s="15" t="s">
        <v>73</v>
      </c>
      <c r="I28" s="15" t="s">
        <v>73</v>
      </c>
      <c r="J28" s="17" t="s">
        <v>162</v>
      </c>
      <c r="K28" s="16"/>
    </row>
    <row r="29" customFormat="false" ht="15" hidden="false" customHeight="false" outlineLevel="0" collapsed="false">
      <c r="A29" s="13" t="s">
        <v>24</v>
      </c>
      <c r="B29" s="14" t="s">
        <v>83</v>
      </c>
      <c r="C29" s="14" t="s">
        <v>73</v>
      </c>
      <c r="D29" s="14" t="s">
        <v>73</v>
      </c>
      <c r="E29" s="14" t="s">
        <v>73</v>
      </c>
      <c r="F29" s="13" t="s">
        <v>191</v>
      </c>
      <c r="G29" s="15" t="s">
        <v>73</v>
      </c>
      <c r="H29" s="15" t="s">
        <v>73</v>
      </c>
      <c r="I29" s="15" t="s">
        <v>73</v>
      </c>
      <c r="J29" s="17" t="s">
        <v>162</v>
      </c>
      <c r="K29" s="16"/>
    </row>
    <row r="30" customFormat="false" ht="15" hidden="false" customHeight="false" outlineLevel="0" collapsed="false">
      <c r="A30" s="6" t="s">
        <v>26</v>
      </c>
      <c r="B30" s="5" t="s">
        <v>81</v>
      </c>
      <c r="C30" s="5" t="s">
        <v>153</v>
      </c>
      <c r="D30" s="5" t="s">
        <v>192</v>
      </c>
      <c r="E30" s="5" t="s">
        <v>25</v>
      </c>
      <c r="F30" s="6" t="s">
        <v>193</v>
      </c>
      <c r="G30" s="7" t="s">
        <v>12</v>
      </c>
      <c r="H30" s="7" t="s">
        <v>12</v>
      </c>
      <c r="I30" s="7" t="s">
        <v>12</v>
      </c>
      <c r="J30" s="5" t="str">
        <f aca="false">IF(COUNTIF(G30,"☐")+COUNTIF(H30,"☐")+COUNTIF(I30,"☐")=0,"Done","Pending")</f>
        <v>Pending</v>
      </c>
      <c r="K30" s="12"/>
    </row>
    <row r="31" customFormat="false" ht="15" hidden="false" customHeight="false" outlineLevel="0" collapsed="false">
      <c r="A31" s="6" t="s">
        <v>26</v>
      </c>
      <c r="B31" s="5" t="s">
        <v>72</v>
      </c>
      <c r="C31" s="5" t="s">
        <v>153</v>
      </c>
      <c r="D31" s="5" t="s">
        <v>192</v>
      </c>
      <c r="E31" s="5" t="s">
        <v>73</v>
      </c>
      <c r="F31" s="6" t="s">
        <v>194</v>
      </c>
      <c r="G31" s="11" t="s">
        <v>73</v>
      </c>
      <c r="H31" s="11" t="s">
        <v>73</v>
      </c>
      <c r="I31" s="11" t="s">
        <v>73</v>
      </c>
      <c r="J31" s="5" t="str">
        <f aca="false">J30</f>
        <v>Pending</v>
      </c>
      <c r="K31" s="12"/>
    </row>
    <row r="32" customFormat="false" ht="15" hidden="false" customHeight="false" outlineLevel="0" collapsed="false">
      <c r="A32" s="6" t="s">
        <v>26</v>
      </c>
      <c r="B32" s="5" t="s">
        <v>157</v>
      </c>
      <c r="C32" s="5" t="s">
        <v>77</v>
      </c>
      <c r="D32" s="5" t="s">
        <v>195</v>
      </c>
      <c r="E32" s="5" t="s">
        <v>73</v>
      </c>
      <c r="F32" s="6" t="s">
        <v>196</v>
      </c>
      <c r="G32" s="11" t="s">
        <v>73</v>
      </c>
      <c r="H32" s="11" t="s">
        <v>73</v>
      </c>
      <c r="I32" s="7" t="s">
        <v>12</v>
      </c>
      <c r="J32" s="5" t="str">
        <f aca="false">IF(COUNTIF(I32,"☐")=0,"Done","Pending")</f>
        <v>Pending</v>
      </c>
      <c r="K32" s="12"/>
    </row>
    <row r="33" customFormat="false" ht="15" hidden="false" customHeight="false" outlineLevel="0" collapsed="false">
      <c r="A33" s="6" t="s">
        <v>26</v>
      </c>
      <c r="B33" s="5" t="s">
        <v>157</v>
      </c>
      <c r="C33" s="5" t="s">
        <v>158</v>
      </c>
      <c r="D33" s="5" t="s">
        <v>197</v>
      </c>
      <c r="E33" s="5" t="s">
        <v>73</v>
      </c>
      <c r="F33" s="6" t="s">
        <v>198</v>
      </c>
      <c r="G33" s="11" t="s">
        <v>73</v>
      </c>
      <c r="H33" s="11" t="s">
        <v>73</v>
      </c>
      <c r="I33" s="7" t="s">
        <v>12</v>
      </c>
      <c r="J33" s="5" t="str">
        <f aca="false">IF(COUNTIF(I33,"☐")=0,"Done","Pending")</f>
        <v>Pending</v>
      </c>
      <c r="K33" s="12"/>
    </row>
    <row r="34" customFormat="false" ht="15" hidden="false" customHeight="false" outlineLevel="0" collapsed="false">
      <c r="A34" s="6" t="s">
        <v>26</v>
      </c>
      <c r="B34" s="5" t="s">
        <v>83</v>
      </c>
      <c r="C34" s="5" t="s">
        <v>73</v>
      </c>
      <c r="D34" s="5" t="s">
        <v>73</v>
      </c>
      <c r="E34" s="5" t="s">
        <v>73</v>
      </c>
      <c r="F34" s="6" t="s">
        <v>199</v>
      </c>
      <c r="G34" s="11" t="s">
        <v>73</v>
      </c>
      <c r="H34" s="11" t="s">
        <v>73</v>
      </c>
      <c r="I34" s="11" t="s">
        <v>73</v>
      </c>
      <c r="J34" s="17" t="s">
        <v>162</v>
      </c>
      <c r="K34" s="12"/>
    </row>
    <row r="35" customFormat="false" ht="15" hidden="false" customHeight="false" outlineLevel="0" collapsed="false">
      <c r="A35" s="13" t="s">
        <v>28</v>
      </c>
      <c r="B35" s="14" t="s">
        <v>81</v>
      </c>
      <c r="C35" s="14" t="s">
        <v>153</v>
      </c>
      <c r="D35" s="14" t="s">
        <v>200</v>
      </c>
      <c r="E35" s="14" t="s">
        <v>27</v>
      </c>
      <c r="F35" s="13" t="s">
        <v>201</v>
      </c>
      <c r="G35" s="7" t="s">
        <v>12</v>
      </c>
      <c r="H35" s="7" t="s">
        <v>12</v>
      </c>
      <c r="I35" s="7" t="s">
        <v>12</v>
      </c>
      <c r="J35" s="14" t="str">
        <f aca="false">IF(COUNTIF(G35,"☐")+COUNTIF(H35,"☐")+COUNTIF(I35,"☐")=0,"Done","Pending")</f>
        <v>Pending</v>
      </c>
      <c r="K35" s="16"/>
    </row>
    <row r="36" customFormat="false" ht="15" hidden="false" customHeight="false" outlineLevel="0" collapsed="false">
      <c r="A36" s="13" t="s">
        <v>28</v>
      </c>
      <c r="B36" s="14" t="s">
        <v>72</v>
      </c>
      <c r="C36" s="14" t="s">
        <v>153</v>
      </c>
      <c r="D36" s="14" t="s">
        <v>200</v>
      </c>
      <c r="E36" s="14" t="s">
        <v>73</v>
      </c>
      <c r="F36" s="13" t="s">
        <v>202</v>
      </c>
      <c r="G36" s="15" t="s">
        <v>73</v>
      </c>
      <c r="H36" s="15" t="s">
        <v>73</v>
      </c>
      <c r="I36" s="15" t="s">
        <v>73</v>
      </c>
      <c r="J36" s="14" t="str">
        <f aca="false">J35</f>
        <v>Pending</v>
      </c>
      <c r="K36" s="16"/>
    </row>
    <row r="37" customFormat="false" ht="15" hidden="false" customHeight="false" outlineLevel="0" collapsed="false">
      <c r="A37" s="13" t="s">
        <v>28</v>
      </c>
      <c r="B37" s="14" t="s">
        <v>166</v>
      </c>
      <c r="C37" s="14" t="s">
        <v>73</v>
      </c>
      <c r="D37" s="14" t="s">
        <v>73</v>
      </c>
      <c r="E37" s="14" t="s">
        <v>73</v>
      </c>
      <c r="F37" s="13" t="s">
        <v>203</v>
      </c>
      <c r="G37" s="15" t="s">
        <v>73</v>
      </c>
      <c r="H37" s="15" t="s">
        <v>73</v>
      </c>
      <c r="I37" s="15" t="s">
        <v>73</v>
      </c>
      <c r="J37" s="17" t="s">
        <v>162</v>
      </c>
      <c r="K37" s="16"/>
    </row>
    <row r="38" customFormat="false" ht="15" hidden="false" customHeight="false" outlineLevel="0" collapsed="false">
      <c r="A38" s="13" t="s">
        <v>28</v>
      </c>
      <c r="B38" s="14" t="s">
        <v>83</v>
      </c>
      <c r="C38" s="14" t="s">
        <v>73</v>
      </c>
      <c r="D38" s="14" t="s">
        <v>73</v>
      </c>
      <c r="E38" s="14" t="s">
        <v>73</v>
      </c>
      <c r="F38" s="13" t="s">
        <v>204</v>
      </c>
      <c r="G38" s="15" t="s">
        <v>73</v>
      </c>
      <c r="H38" s="15" t="s">
        <v>73</v>
      </c>
      <c r="I38" s="15" t="s">
        <v>73</v>
      </c>
      <c r="J38" s="17" t="s">
        <v>162</v>
      </c>
      <c r="K38" s="16"/>
    </row>
    <row r="39" customFormat="false" ht="15" hidden="false" customHeight="false" outlineLevel="0" collapsed="false">
      <c r="A39" s="6" t="s">
        <v>30</v>
      </c>
      <c r="B39" s="5" t="s">
        <v>81</v>
      </c>
      <c r="C39" s="5" t="s">
        <v>153</v>
      </c>
      <c r="D39" s="5" t="s">
        <v>205</v>
      </c>
      <c r="E39" s="5" t="s">
        <v>29</v>
      </c>
      <c r="F39" s="6" t="s">
        <v>206</v>
      </c>
      <c r="G39" s="7" t="s">
        <v>12</v>
      </c>
      <c r="H39" s="7" t="s">
        <v>12</v>
      </c>
      <c r="I39" s="7" t="s">
        <v>12</v>
      </c>
      <c r="J39" s="5" t="str">
        <f aca="false">IF(COUNTIF(G39,"☐")+COUNTIF(H39,"☐")+COUNTIF(I39,"☐")=0,"Done","Pending")</f>
        <v>Pending</v>
      </c>
      <c r="K39" s="12"/>
    </row>
    <row r="40" customFormat="false" ht="15" hidden="false" customHeight="false" outlineLevel="0" collapsed="false">
      <c r="A40" s="6" t="s">
        <v>30</v>
      </c>
      <c r="B40" s="5" t="s">
        <v>72</v>
      </c>
      <c r="C40" s="5" t="s">
        <v>153</v>
      </c>
      <c r="D40" s="5" t="s">
        <v>205</v>
      </c>
      <c r="E40" s="5" t="s">
        <v>73</v>
      </c>
      <c r="F40" s="6" t="s">
        <v>207</v>
      </c>
      <c r="G40" s="11" t="s">
        <v>73</v>
      </c>
      <c r="H40" s="11" t="s">
        <v>73</v>
      </c>
      <c r="I40" s="11" t="s">
        <v>73</v>
      </c>
      <c r="J40" s="5" t="str">
        <f aca="false">J39</f>
        <v>Pending</v>
      </c>
      <c r="K40" s="12"/>
    </row>
    <row r="41" customFormat="false" ht="15" hidden="false" customHeight="false" outlineLevel="0" collapsed="false">
      <c r="A41" s="6" t="s">
        <v>30</v>
      </c>
      <c r="B41" s="5" t="s">
        <v>166</v>
      </c>
      <c r="C41" s="5" t="s">
        <v>73</v>
      </c>
      <c r="D41" s="5" t="s">
        <v>73</v>
      </c>
      <c r="E41" s="5" t="s">
        <v>73</v>
      </c>
      <c r="F41" s="6" t="s">
        <v>208</v>
      </c>
      <c r="G41" s="11" t="s">
        <v>73</v>
      </c>
      <c r="H41" s="11" t="s">
        <v>73</v>
      </c>
      <c r="I41" s="11" t="s">
        <v>73</v>
      </c>
      <c r="J41" s="17" t="s">
        <v>162</v>
      </c>
      <c r="K41" s="12"/>
    </row>
    <row r="42" customFormat="false" ht="15" hidden="false" customHeight="false" outlineLevel="0" collapsed="false">
      <c r="A42" s="6" t="s">
        <v>30</v>
      </c>
      <c r="B42" s="5" t="s">
        <v>83</v>
      </c>
      <c r="C42" s="5" t="s">
        <v>73</v>
      </c>
      <c r="D42" s="5" t="s">
        <v>73</v>
      </c>
      <c r="E42" s="5" t="s">
        <v>73</v>
      </c>
      <c r="F42" s="6" t="s">
        <v>209</v>
      </c>
      <c r="G42" s="11" t="s">
        <v>73</v>
      </c>
      <c r="H42" s="11" t="s">
        <v>73</v>
      </c>
      <c r="I42" s="11" t="s">
        <v>73</v>
      </c>
      <c r="J42" s="17" t="s">
        <v>162</v>
      </c>
      <c r="K42" s="12"/>
    </row>
    <row r="43" customFormat="false" ht="15" hidden="false" customHeight="false" outlineLevel="0" collapsed="false">
      <c r="A43" s="13" t="s">
        <v>32</v>
      </c>
      <c r="B43" s="14" t="s">
        <v>81</v>
      </c>
      <c r="C43" s="14" t="s">
        <v>153</v>
      </c>
      <c r="D43" s="14" t="s">
        <v>210</v>
      </c>
      <c r="E43" s="14" t="s">
        <v>31</v>
      </c>
      <c r="F43" s="13" t="s">
        <v>211</v>
      </c>
      <c r="G43" s="7" t="s">
        <v>12</v>
      </c>
      <c r="H43" s="7" t="s">
        <v>12</v>
      </c>
      <c r="I43" s="7" t="s">
        <v>12</v>
      </c>
      <c r="J43" s="14" t="str">
        <f aca="false">IF(COUNTIF(G43,"☐")+COUNTIF(H43,"☐")+COUNTIF(I43,"☐")=0,"Done","Pending")</f>
        <v>Pending</v>
      </c>
      <c r="K43" s="16"/>
    </row>
    <row r="44" customFormat="false" ht="15" hidden="false" customHeight="false" outlineLevel="0" collapsed="false">
      <c r="A44" s="13" t="s">
        <v>32</v>
      </c>
      <c r="B44" s="14" t="s">
        <v>72</v>
      </c>
      <c r="C44" s="14" t="s">
        <v>153</v>
      </c>
      <c r="D44" s="14" t="s">
        <v>210</v>
      </c>
      <c r="E44" s="14" t="s">
        <v>73</v>
      </c>
      <c r="F44" s="13" t="s">
        <v>212</v>
      </c>
      <c r="G44" s="15" t="s">
        <v>73</v>
      </c>
      <c r="H44" s="15" t="s">
        <v>73</v>
      </c>
      <c r="I44" s="15" t="s">
        <v>73</v>
      </c>
      <c r="J44" s="14" t="str">
        <f aca="false">J43</f>
        <v>Pending</v>
      </c>
      <c r="K44" s="16"/>
    </row>
    <row r="45" customFormat="false" ht="15" hidden="false" customHeight="false" outlineLevel="0" collapsed="false">
      <c r="A45" s="13" t="s">
        <v>32</v>
      </c>
      <c r="B45" s="14" t="s">
        <v>157</v>
      </c>
      <c r="C45" s="14" t="s">
        <v>73</v>
      </c>
      <c r="D45" s="14" t="s">
        <v>73</v>
      </c>
      <c r="E45" s="14" t="s">
        <v>73</v>
      </c>
      <c r="F45" s="13" t="s">
        <v>213</v>
      </c>
      <c r="G45" s="15" t="s">
        <v>73</v>
      </c>
      <c r="H45" s="15" t="s">
        <v>73</v>
      </c>
      <c r="I45" s="15" t="s">
        <v>73</v>
      </c>
      <c r="J45" s="17" t="s">
        <v>162</v>
      </c>
      <c r="K45" s="16"/>
    </row>
    <row r="46" customFormat="false" ht="15" hidden="false" customHeight="false" outlineLevel="0" collapsed="false">
      <c r="A46" s="13" t="s">
        <v>32</v>
      </c>
      <c r="B46" s="14" t="s">
        <v>83</v>
      </c>
      <c r="C46" s="14" t="s">
        <v>73</v>
      </c>
      <c r="D46" s="14" t="s">
        <v>73</v>
      </c>
      <c r="E46" s="14" t="s">
        <v>73</v>
      </c>
      <c r="F46" s="13" t="s">
        <v>214</v>
      </c>
      <c r="G46" s="15" t="s">
        <v>73</v>
      </c>
      <c r="H46" s="15" t="s">
        <v>73</v>
      </c>
      <c r="I46" s="15" t="s">
        <v>73</v>
      </c>
      <c r="J46" s="17" t="s">
        <v>162</v>
      </c>
      <c r="K46" s="16"/>
    </row>
    <row r="48" customFormat="false" ht="15" hidden="false" customHeight="false" outlineLevel="0" collapsed="false">
      <c r="A48" s="8" t="s">
        <v>144</v>
      </c>
      <c r="B48" s="9" t="n">
        <f aca="false">COUNTA(A6:A46)-COUNTIF(J6:J46,"N/A")</f>
        <v>41</v>
      </c>
    </row>
    <row r="49" customFormat="false" ht="15" hidden="false" customHeight="false" outlineLevel="0" collapsed="false">
      <c r="A49" s="8" t="s">
        <v>145</v>
      </c>
      <c r="B49" s="9" t="n">
        <f aca="false">COUNTA(E6:E46)-COUNTIF(E6:E46,"—")</f>
        <v>10</v>
      </c>
    </row>
    <row r="50" customFormat="false" ht="15" hidden="false" customHeight="false" outlineLevel="0" collapsed="false">
      <c r="A50" s="8" t="s">
        <v>146</v>
      </c>
      <c r="B50" s="9" t="n">
        <f aca="false">2*B49</f>
        <v>20</v>
      </c>
    </row>
    <row r="51" customFormat="false" ht="15" hidden="false" customHeight="false" outlineLevel="0" collapsed="false">
      <c r="A51" s="8" t="s">
        <v>147</v>
      </c>
      <c r="B51" s="9" t="n">
        <f aca="false">COUNTIF(G6:G46,"☑")+COUNTIF(H6:H46,"☑")</f>
        <v>0</v>
      </c>
    </row>
    <row r="52" customFormat="false" ht="15" hidden="false" customHeight="false" outlineLevel="0" collapsed="false">
      <c r="A52" s="8" t="s">
        <v>148</v>
      </c>
      <c r="B52" s="9" t="n">
        <f aca="false">COUNTIF(I6:I46,"☐")+COUNTIF(I6:I46,"☑")</f>
        <v>16</v>
      </c>
    </row>
    <row r="53" customFormat="false" ht="15" hidden="false" customHeight="false" outlineLevel="0" collapsed="false">
      <c r="A53" s="8" t="s">
        <v>149</v>
      </c>
      <c r="B53" s="9" t="n">
        <f aca="false">COUNTIF(I6:I46,"☑")</f>
        <v>0</v>
      </c>
    </row>
    <row r="54" customFormat="false" ht="15" hidden="false" customHeight="false" outlineLevel="0" collapsed="false">
      <c r="A54" s="8" t="s">
        <v>60</v>
      </c>
      <c r="B54" s="9" t="n">
        <f aca="false">COUNTIF(J6:J46,"Done")</f>
        <v>0</v>
      </c>
    </row>
    <row r="55" customFormat="false" ht="15" hidden="false" customHeight="false" outlineLevel="0" collapsed="false">
      <c r="A55" s="8" t="s">
        <v>150</v>
      </c>
      <c r="B55" s="9" t="n">
        <f aca="false">COUNTIF(J6:J46,"Fault")</f>
        <v>0</v>
      </c>
    </row>
    <row r="56" customFormat="false" ht="15" hidden="false" customHeight="false" outlineLevel="0" collapsed="false">
      <c r="A56" s="8" t="s">
        <v>61</v>
      </c>
      <c r="B56" s="10" t="n">
        <f aca="false">IF(B48=0,0,B54/B48)</f>
        <v>0</v>
      </c>
    </row>
  </sheetData>
  <conditionalFormatting sqref="A6:K46">
    <cfRule type="expression" priority="2" aboveAverage="0" equalAverage="0" bottom="0" percent="0" rank="0" text="" dxfId="0">
      <formula>$J6="Done"</formula>
    </cfRule>
  </conditionalFormatting>
  <conditionalFormatting sqref="G6:I46">
    <cfRule type="cellIs" priority="3" operator="equal" aboveAverage="0" equalAverage="0" bottom="0" percent="0" rank="0" text="" dxfId="0">
      <formula>"☑"</formula>
    </cfRule>
  </conditionalFormatting>
  <conditionalFormatting sqref="J6:J46">
    <cfRule type="cellIs" priority="4" operator="equal" aboveAverage="0" equalAverage="0" bottom="0" percent="0" rank="0" text="" dxfId="1">
      <formula>"Fault"</formula>
    </cfRule>
    <cfRule type="cellIs" priority="5" operator="equal" aboveAverage="0" equalAverage="0" bottom="0" percent="0" rank="0" text="" dxfId="2">
      <formula>"In progress"</formula>
    </cfRule>
  </conditionalFormatting>
  <dataValidations count="2">
    <dataValidation allowBlank="false" errorStyle="stop" operator="between" showDropDown="false" showErrorMessage="false" showInputMessage="false" sqref="G6:I6 I8 G10:I10 G14:I14 I16 G18:I18 I20 G22:I22 I24 G26:I26 G30:I30 I32:I33 G35:I35 G39:I39 G43:I43" type="list">
      <formula1>"☐,☑"</formula1>
      <formula2>0</formula2>
    </dataValidation>
    <dataValidation allowBlank="false" errorStyle="stop" operator="between" showDropDown="false" showErrorMessage="false" showInputMessage="false" sqref="J9 J12:J13 J17 J21 J25 J28:J29 J34 J37:J38 J41:J42 J45:J46" type="list">
      <formula1>"Pending,In progress,Done,Fault"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2026-10-28T12:26:18Z</dcterms:created>
  <dc:creator>openpyxl</dc:creator>
  <dc:description/>
  <dc:language>en-US</dc:language>
  <cp:lastModifiedBy/>
  <dcterms:modified xsi:type="dcterms:W3CDTF">2026-10-28T12:26:18Z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